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b4c930a78148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84dc92b006524158"/>
    <x:sheet xmlns:r="http://schemas.openxmlformats.org/officeDocument/2006/relationships" name="Changelog" sheetId="2" r:id="R214f6cbf8bc44daf"/>
    <x:sheet xmlns:r="http://schemas.openxmlformats.org/officeDocument/2006/relationships" name="决策与风险" sheetId="3" r:id="R121b67b414b24db1"/>
    <x:sheet xmlns:r="http://schemas.openxmlformats.org/officeDocument/2006/relationships" name="执行约定" sheetId="4" r:id="R3c3a95ac54254f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55f1664c5043da" /><Relationship Type="http://schemas.openxmlformats.org/officeDocument/2006/relationships/theme" Target="/xl/theme/theme1.xml" Id="R99f853387c4f484b" /><Relationship Type="http://schemas.openxmlformats.org/officeDocument/2006/relationships/sharedStrings" Target="/xl/sharedStrings.xml" Id="Rb42eba0b4d1c4083" /><Relationship Type="http://schemas.openxmlformats.org/officeDocument/2006/relationships/worksheet" Target="/xl/worksheets/sheet1.xml" Id="R84dc92b006524158" /><Relationship Type="http://schemas.openxmlformats.org/officeDocument/2006/relationships/worksheet" Target="/xl/worksheets/sheet2.xml" Id="R214f6cbf8bc44daf" /><Relationship Type="http://schemas.openxmlformats.org/officeDocument/2006/relationships/worksheet" Target="/xl/worksheets/sheet3.xml" Id="R121b67b414b24db1" /><Relationship Type="http://schemas.openxmlformats.org/officeDocument/2006/relationships/worksheet" Target="/xl/worksheets/sheet4.xml" Id="R3c3a95ac54254f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-21完整r4/M5/产品1.2.0-rc.10/15014本地与签名交付，435全量/静态/兼容恢复/生产签名有证据。20主线均本地完成，无下一已排定可执行包；手机最近核实15013，唯一新待安装15014，用户/M5未验，定时实际PAUSED保持，不自行恢复或空检查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COUNTIFS(D8:D68,"待开发")</x:f>
        <x:v>0</x:v>
      </x:c>
      <x:c r="C4" s="2" t="str">
        <x:v>最少人日</x:v>
      </x:c>
      <x:c r="D4" s="2" t="n">
        <x:f>SUMIFS(G8:G68,D8:D68,"待开发")</x:f>
        <x:v>0</x:v>
      </x:c>
      <x:c r="E4" s="2" t="str">
        <x:v>最多人日</x:v>
      </x:c>
      <x:c r="F4" s="2" t="n">
        <x:f>SUMIFS(H8:H68,D8:D68,"待开发")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稳定化与正式日用验收（5包）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已安装/待验收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540" customHeight="1">
      <x:c r="A51" s="75" t="str">
        <x:v>v1.5.1-r4</x:v>
      </x:c>
      <x:c r="B51" s="75" t="str">
        <x:v>停用来源与统计时间筛选fix</x:v>
      </x:c>
      <x:c r="C51" s="75" t="str">
        <x:v>识别停用来源，快捷按今日和日历查统计</x:v>
      </x:c>
      <x:c r="D51" s="75" t="str">
        <x:v>本地完成/待实机</x:v>
      </x:c>
      <x:c r="E51" s="75" t="str">
        <x:v>P0</x:v>
      </x:c>
      <x:c r="F51" s="75" t="str">
        <x:v>v1.5.1-r3</x:v>
      </x:c>
      <x:c r="G51" s="77" t="n">
        <x:v>2</x:v>
      </x:c>
      <x:c r="H51" s="77" t="n">
        <x:v>4</x:v>
      </x:c>
      <x:c r="I51" s="75" t="str">
        <x:v>先只读状态原因模型，再共用管理卡片/成员选项/相关提示，最后四组合与恢复回归；统计分支先复用BiPeriod/业务当天与日期约束，再共用日历/今日及具体月年导航，最后与停用来源同包回归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；2026-10-21追加：今日快捷设上海当天日范围，保留其他筛选；日期文本改日历点击确认/取消，日历切月选年；月范围上月/下月、年范围上一年/下一年具体导航；管理共用BiPage同步、成员日历保留期间限制。见BI_DATE_FILTER_FIX_20261021.md</x:v>
      </x:c>
      <x:c r="K51" s="75" t="str">
        <x:v>仅源码分析和规划，无业务修改/新APK。需四组合、恢复团体后自身状态保持、历史/空团体/缺失关系、portrait320–430/200%语义与原库存/完整恢复验证；新增仅源码分析未实现；需今日跨日/所有转日、日历确认取消、跨月跨年闰日及边界、成员期间限制/管理同源和portrait200%证据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L51" s="75" t="str">
        <x:v>个人按成员身份解释，不扩展为Person级级联；不修改原active/ID/NULL/历史/成本/库存；具体措辞和双原因布局待检查，定时实际PAUSED不恢复；今日不补历史日期、不新增统计口径；其他筛选及周界保留，日历翻页不提前提交，具体月年按钮布局实施后检查。15013已安装/数据保持核验，不含本fix；PAUSED保持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M51" s="75" t="str">
        <x:v>成员目录/只读原因、共用实体网格与成员输入、相关服务异常及对应测试/UI说明；无schema迁移；统计BiPage/共用日期弹窗、BiPeriod必要导航适配及成员每日/管理报表消费者、日期/widget测试/UI说明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15013后新增停用提示修复，原包已交不回写；产品1.2.0未正式发布，拟rc.10不另造产品补丁；未开发同包小修合并，原停用来源范围保留；2–4人日/累计64–109，仅计划无新候选</x:v>
      </x:c>
    </x:row>
    <x:row r="52" ht="40" customHeight="1">
      <x:c r="A52" s="82" t="str">
        <x:v>里程碑</x:v>
      </x:c>
      <x:c r="B52" s="82" t="str">
        <x:v>检查点</x:v>
      </x:c>
      <x:c r="C52" s="82" t="str">
        <x:v>包含工作包</x:v>
      </x:c>
      <x:c r="D52" s="82" t="str">
        <x:v>当前状态</x:v>
      </x:c>
      <x:c r="E52" s="82" t="str">
        <x:v>App目标版本</x:v>
      </x:c>
      <x:c r="F52" s="82" t="str">
        <x:v>你检查的场景</x:v>
      </x:c>
      <x:c r="G52" s="82" t="str">
        <x:v>本段人日</x:v>
      </x:c>
      <x:c r="H52" s="82" t="str">
        <x:v>累计人日</x:v>
      </x:c>
      <x:c r="I52" s="82" t="str">
        <x:v>需交付的验收材料</x:v>
      </x:c>
      <x:c r="J52" s="82" t="str">
        <x:v>检查方式</x:v>
      </x:c>
      <x:c r="K52" s="82" t="str">
        <x:v>实际结论 / 缺口</x:v>
      </x:c>
      <x:c r="L52" s="82" t="str">
        <x:v>进入下一阶段的条件</x:v>
      </x:c>
      <x:c r="M52" s="82" t="str">
        <x:v>前置里程碑</x:v>
      </x:c>
      <x:c r="N52" s="82" t="str">
        <x:v>阶段产物</x:v>
      </x:c>
      <x:c r="O52" s="82"/>
      <x:c r="P52" s="82"/>
      <x:c r="Q52" s="82"/>
    </x:row>
    <x:row r="53" ht="240" customHeight="1">
      <x:c r="A53" s="84" t="str">
        <x:v>M5</x:v>
      </x:c>
      <x:c r="B53" s="83" t="str">
        <x:v>正式日用验收</x:v>
      </x:c>
      <x:c r="C53" s="83" t="str">
        <x:v>v1.5.1,v1.5.1-r1,v1.5.1-r2,v1.5.1-r3,v1.5.1-r4</x:v>
      </x:c>
      <x:c r="D53" s="83" t="str">
        <x:v>待用户复核</x:v>
      </x:c>
      <x:c r="E53" s="83" t="str">
        <x:v>1.2.0</x:v>
      </x:c>
      <x:c r="F53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</x:v>
      </x:c>
      <x:c r="G53" s="83" t="str">
        <x:v>16–28</x:v>
      </x:c>
      <x:c r="H53" s="83" t="str">
        <x:v>64–109</x:v>
      </x:c>
      <x:c r="I53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</x:v>
      </x:c>
      <x:c r="J53" s="83" t="str">
        <x:v>需本轮设备范围；日用窗口开始前约定；不在真库造测试记录</x:v>
      </x:c>
      <x:c r="K53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L53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M53" s="83" t="str">
        <x:v>M4</x:v>
      </x:c>
      <x:c r="N53" s="83" t="str">
        <x:v>已完成日用验收的1.2.0；稳定化不凭空升补丁号</x:v>
      </x:c>
      <x:c r="O53" s="83"/>
      <x:c r="P53" s="83"/>
      <x:c r="Q53" s="83"/>
    </x:row>
    <x:row r="54" ht="36" customHeight="1">
      <x:c r="A54" s="74" t="str">
        <x:v>流程 / 设计追溯 · 历史基线及已完成治理</x:v>
      </x:c>
      <x:c r="B54" s="74"/>
      <x:c r="C54" s="74"/>
      <x:c r="D54" s="74"/>
      <x:c r="E54" s="74"/>
      <x:c r="F54" s="74"/>
      <x:c r="G54" s="74"/>
      <x:c r="H54" s="74"/>
      <x:c r="I54" s="74" t="str">
        <x:v>非业务开发阶段；UI-FIX-001在M1前置区，避免重复记录</x:v>
      </x:c>
      <x:c r="J54" s="74"/>
      <x:c r="K54" s="74"/>
      <x:c r="L54" s="74"/>
      <x:c r="M54" s="74"/>
      <x:c r="N54" s="74"/>
      <x:c r="O54" s="74"/>
      <x:c r="P54" s="74"/>
      <x:c r="Q54" s="74"/>
    </x:row>
    <x:row r="55" ht="40" customHeight="1">
      <x:c r="A55" s="88" t="str">
        <x:v>工作包（历史ID）</x:v>
      </x:c>
      <x:c r="B55" s="88" t="str">
        <x:v>工作包名称</x:v>
      </x:c>
      <x:c r="C55" s="88" t="str">
        <x:v>用户收益</x:v>
      </x:c>
      <x:c r="D55" s="88" t="str">
        <x:v>状态</x:v>
      </x:c>
      <x:c r="E55" s="88" t="str">
        <x:v>优先级</x:v>
      </x:c>
      <x:c r="F55" s="88" t="str">
        <x:v>硬依赖工作包</x:v>
      </x:c>
      <x:c r="G55" s="88" t="str">
        <x:v>最少人日</x:v>
      </x:c>
      <x:c r="H55" s="88" t="str">
        <x:v>最多人日</x:v>
      </x:c>
      <x:c r="I55" s="88" t="str">
        <x:v>目标</x:v>
      </x:c>
      <x:c r="J55" s="88" t="str">
        <x:v>交付范围</x:v>
      </x:c>
      <x:c r="K55" s="88" t="str">
        <x:v>验收 / 已有证据</x:v>
      </x:c>
      <x:c r="L55" s="88" t="str">
        <x:v>门槛 / 未完成项</x:v>
      </x:c>
      <x:c r="M55" s="88" t="str">
        <x:v>影响范围</x:v>
      </x:c>
      <x:c r="N55" s="88" t="str">
        <x:v>候选code下界</x:v>
      </x:c>
      <x:c r="O55" s="88" t="str">
        <x:v>App目标版本</x:v>
      </x:c>
      <x:c r="P55" s="88" t="str">
        <x:v>所属里程碑</x:v>
      </x:c>
      <x:c r="Q55" s="88" t="str">
        <x:v>拆分 / 升版理由</x:v>
      </x:c>
    </x:row>
    <x:row r="56" ht="200" customHeight="1">
      <x:c r="A56" s="53" t="str">
        <x:v>BASE-UPSTREAM</x:v>
      </x:c>
      <x:c r="B56" s="53" t="str">
        <x:v>来源基线</x:v>
      </x:c>
      <x:c r="C56" s="53" t="str">
        <x:v>保留来源与旧数据语义</x:v>
      </x:c>
      <x:c r="D56" s="53" t="str">
        <x:v>历史基线</x:v>
      </x:c>
      <x:c r="E56" s="53" t="str">
        <x:v>P0</x:v>
      </x:c>
      <x:c r="F56" s="53"/>
      <x:c r="G56" s="59" t="n">
        <x:v>0</x:v>
      </x:c>
      <x:c r="H56" s="59" t="n">
        <x:v>0</x:v>
      </x:c>
      <x:c r="I56" s="53" t="str">
        <x:v>固定本地上游起点</x:v>
      </x:c>
      <x:c r="J56" s="53" t="str">
        <x:v>baseline/upstream；Apache-2.0；个人fork</x:v>
      </x:c>
      <x:c r="K56" s="53" t="str">
        <x:v>源码已克隆；旧App全库导出已完成</x:v>
      </x:c>
      <x:c r="L56" s="53" t="str">
        <x:v>源码与安装APK未证明精确对应</x:v>
      </x:c>
      <x:c r="M56" s="53" t="str">
        <x:v>全仓库</x:v>
      </x:c>
      <x:c r="N56" s="129"/>
      <x:c r="O56" s="130"/>
      <x:c r="P56" s="130"/>
      <x:c r="Q56" s="53"/>
    </x:row>
    <x:row r="57" ht="200" customHeight="1">
      <x:c r="A57" s="75" t="str">
        <x:v>WF-001</x:v>
      </x:c>
      <x:c r="B57" s="75" t="str">
        <x:v>流程建立</x:v>
      </x:c>
      <x:c r="C57" s="75" t="str">
        <x:v>可连续使用的个人开发流程</x:v>
      </x:c>
      <x:c r="D57" s="75" t="str">
        <x:v>已完成</x:v>
      </x:c>
      <x:c r="E57" s="75" t="str">
        <x:v>P0</x:v>
      </x:c>
      <x:c r="F57" s="75" t="str">
        <x:v>BASE-UPSTREAM</x:v>
      </x:c>
      <x:c r="G57" s="77" t="n">
        <x:v>0</x:v>
      </x:c>
      <x:c r="H57" s="77" t="n">
        <x:v>0</x:v>
      </x:c>
      <x:c r="I57" s="75" t="str">
        <x:v>参考SalaryFlow并按Flutter适配</x:v>
      </x:c>
      <x:c r="J57" s="75" t="str">
        <x:v>四表、AGENTS、指导md、检查脚本、独立分支</x:v>
      </x:c>
      <x:c r="K57" s="75" t="str">
        <x:v>文档/规划结构、负例/历史保护、脚本、只读库和视觉复核通过；未构建产品。</x:v>
      </x:c>
      <x:c r="L57" s="75" t="str">
        <x:v>不改业务/身份/签名/工具链，不连接设备</x:v>
      </x:c>
      <x:c r="M57" s="75" t="str">
        <x:v>文档/脚本/CI</x:v>
      </x:c>
      <x:c r="N57" s="131"/>
      <x:c r="O57" s="132"/>
      <x:c r="P57" s="132"/>
      <x:c r="Q57" s="75"/>
    </x:row>
    <x:row r="58" ht="200" customHeight="1">
      <x:c r="A58" s="53" t="str">
        <x:v>WF-002</x:v>
      </x:c>
      <x:c r="B58" s="53" t="str">
        <x:v>需求评估与规划</x:v>
      </x:c>
      <x:c r="C58" s="53" t="str">
        <x:v>可评审的Cheki/券管理路线</x:v>
      </x:c>
      <x:c r="D58" s="53" t="str">
        <x:v>已完成</x:v>
      </x:c>
      <x:c r="E58" s="53" t="str">
        <x:v>P0</x:v>
      </x:c>
      <x:c r="F58" s="53" t="str">
        <x:v>WF-001</x:v>
      </x:c>
      <x:c r="G58" s="59" t="n">
        <x:v>0</x:v>
      </x:c>
      <x:c r="H58" s="59" t="n">
        <x:v>0</x:v>
      </x:c>
      <x:c r="I58" s="53" t="str">
        <x:v>评估暂定V0.2并建立需求覆盖与版本路线</x:v>
      </x:c>
      <x:c r="J58" s="53" t="str">
        <x:v>需求原文、差距/初步设计、四表规划与历史保护</x:v>
      </x:c>
      <x:c r="K58" s="53" t="str">
        <x:v>42项覆盖、12开发版/依赖/估算、历史保护、19项流程回归及四表视觉复核通过；仅规划交付，未产品构建。</x:v>
      </x:c>
      <x:c r="L58" s="53" t="str">
        <x:v>本轮仅规划；实施前确认相依决定；不连接手机</x:v>
      </x:c>
      <x:c r="M58" s="53" t="str">
        <x:v>规划/文档/流程检查</x:v>
      </x:c>
      <x:c r="N58" s="129"/>
      <x:c r="O58" s="130"/>
      <x:c r="P58" s="130"/>
      <x:c r="Q58" s="53"/>
    </x:row>
    <x:row r="59" ht="200" customHeight="1">
      <x:c r="A59" s="75" t="str">
        <x:v>WF-003</x:v>
      </x:c>
      <x:c r="B59" s="75" t="str">
        <x:v>版本与阶段验收治理</x:v>
      </x:c>
      <x:c r="C59" s="75" t="str">
        <x:v>能理解升版并分阶段检查</x:v>
      </x:c>
      <x:c r="D59" s="75" t="str">
        <x:v>已完成</x:v>
      </x:c>
      <x:c r="E59" s="75" t="str">
        <x:v>P0</x:v>
      </x:c>
      <x:c r="F59" s="75" t="str">
        <x:v>WF-002</x:v>
      </x:c>
      <x:c r="G59" s="77" t="n">
        <x:v>0</x:v>
      </x:c>
      <x:c r="H59" s="77" t="n">
        <x:v>0</x:v>
      </x:c>
      <x:c r="I59" s="75" t="str">
        <x:v>区分工作包、App版本、里程碑和核心MVP</x:v>
      </x:c>
      <x:c r="J59" s="75" t="str">
        <x:v>升版触发/耦合理由；阶段检查表；MVP备份门槛；历史保留</x:v>
      </x:c>
      <x:c r="K59" s="75" t="str">
        <x:v>阶段覆盖/产品目标/依赖/估算/公式重算、历史保护、23项流程回归和四表视觉通过；只规划，业务/设备未实施。</x:v>
      </x:c>
      <x:c r="L59" s="75" t="str">
        <x:v>仅规划修订，不改业务/身份/工具链/数据/设备</x:v>
      </x:c>
      <x:c r="M59" s="75" t="str">
        <x:v>规划/指导/流程校验</x:v>
      </x:c>
      <x:c r="N59" s="131"/>
      <x:c r="O59" s="132"/>
      <x:c r="P59" s="132"/>
      <x:c r="Q59" s="75"/>
    </x:row>
    <x:row r="60" ht="200" customHeight="1">
      <x:c r="A60" s="53" t="str">
        <x:v>WF-004</x:v>
      </x:c>
      <x:c r="B60" s="53" t="str">
        <x:v>双备份与提交追溯</x:v>
      </x:c>
      <x:c r="C60" s="53" t="str">
        <x:v>数据两处可核验、每提交远端留档</x:v>
      </x:c>
      <x:c r="D60" s="53" t="str">
        <x:v>已完成</x:v>
      </x:c>
      <x:c r="E60" s="53" t="str">
        <x:v>P0</x:v>
      </x:c>
      <x:c r="F60" s="53" t="str">
        <x:v>WF-003</x:v>
      </x:c>
      <x:c r="G60" s="59" t="n">
        <x:v>0</x:v>
      </x:c>
      <x:c r="H60" s="59" t="n">
        <x:v>0</x:v>
      </x:c>
      <x:c r="I60" s="53" t="str">
        <x:v>核验E/NAS备份并固定每提交推送</x:v>
      </x:c>
      <x:c r="J60" s="53" t="str">
        <x:v>既有快照核验/复制NAS；提交与推送hooks；指导/四表；建立首个规划Git基线</x:v>
      </x:c>
      <x:c r="K60" s="53" t="str">
        <x:v>E/NAS12文件与两库核验；23流程+5提交追溯检查；首个规划提交已上传且远端一致；四表视觉/历史通过。</x:v>
      </x:c>
      <x:c r="L60" s="53" t="str">
        <x:v>不改App/身份/真实数据；用户确认未改后不重做手机备份；不发Release/tag/APK</x:v>
      </x:c>
      <x:c r="M60" s="53" t="str">
        <x:v>文档/脚本/hooks/规划</x:v>
      </x:c>
      <x:c r="N60" s="129"/>
      <x:c r="O60" s="130"/>
      <x:c r="P60" s="130"/>
      <x:c r="Q60" s="53"/>
    </x:row>
    <x:row r="61" ht="200" customHeight="1">
      <x:c r="A61" s="75" t="str">
        <x:v>WF-005</x:v>
      </x:c>
      <x:c r="B61" s="75" t="str">
        <x:v>仓库首页说明重写</x:v>
      </x:c>
      <x:c r="C61" s="75" t="str">
        <x:v>浏览者能理解定位与真实进度</x:v>
      </x:c>
      <x:c r="D61" s="75" t="str">
        <x:v>已完成</x:v>
      </x:c>
      <x:c r="E61" s="75" t="str">
        <x:v>P0</x:v>
      </x:c>
      <x:c r="F61" s="75" t="str">
        <x:v>WF-004</x:v>
      </x:c>
      <x:c r="G61" s="77" t="n">
        <x:v>0</x:v>
      </x:c>
      <x:c r="H61" s="77" t="n">
        <x:v>0</x:v>
      </x:c>
      <x:c r="I61" s="75" t="str">
        <x:v>重写README并核对GitHub首页入口</x:v>
      </x:c>
      <x:c r="J61" s="75" t="str">
        <x:v>项目定位、现状/MVP摘要、开发入口与上游许可；默认分支显示方案待选择</x:v>
      </x:c>
      <x:c r="K61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1" s="75" t="str">
        <x:v>只改文档与规划；不改App/数据/身份/发布制品；不强推历史</x:v>
      </x:c>
      <x:c r="M61" s="75" t="str">
        <x:v>README/开发约定/规划/仓库首页</x:v>
      </x:c>
      <x:c r="N61" s="131"/>
      <x:c r="O61" s="132"/>
      <x:c r="P61" s="132"/>
      <x:c r="Q61" s="75"/>
    </x:row>
    <x:row r="62" ht="200" customHeight="1">
      <x:c r="A62" s="53" t="str">
        <x:v>WF-006</x:v>
      </x:c>
      <x:c r="B62" s="53" t="str">
        <x:v>UI风格与页面方案</x:v>
      </x:c>
      <x:c r="C62" s="53" t="str">
        <x:v>明确极简浅蓝浅粉界面及操作层级</x:v>
      </x:c>
      <x:c r="D62" s="53" t="str">
        <x:v>已完成</x:v>
      </x:c>
      <x:c r="E62" s="53" t="str">
        <x:v>P0</x:v>
      </x:c>
      <x:c r="F62" s="53" t="str">
        <x:v>WF-005</x:v>
      </x:c>
      <x:c r="G62" s="59" t="n">
        <x:v>0</x:v>
      </x:c>
      <x:c r="H62" s="59" t="n">
        <x:v>0</x:v>
      </x:c>
      <x:c r="I62" s="53" t="str">
        <x:v>参考SalaryFlow明确Cheki与券管理UI</x:v>
      </x:c>
      <x:c r="J62" s="53" t="str">
        <x:v>UI规范、可点击四页及登记/管理原型；浅蓝浅粉拼色；开发入口与四表同步</x:v>
      </x:c>
      <x:c r="K62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2" s="53" t="str">
        <x:v>只交设计与演示；不改Flutter业务/身份/工具链/真库/设备；布局提案待用户复核</x:v>
      </x:c>
      <x:c r="M62" s="53" t="str">
        <x:v>UI文档/原型/开发约定/规划</x:v>
      </x:c>
      <x:c r="N62" s="129"/>
      <x:c r="O62" s="130"/>
      <x:c r="P62" s="130"/>
      <x:c r="Q62" s="53" t="str">
        <x:v>仅明确视觉与交互，产品能力未实施，不触发App升版</x:v>
      </x:c>
    </x:row>
    <x:row r="63" ht="200" customHeight="1">
      <x:c r="A63" s="75" t="str">
        <x:v>WF-007</x:v>
      </x:c>
      <x:c r="B63" s="75" t="str">
        <x:v>统计下钻与待处理整合</x:v>
      </x:c>
      <x:c r="C63" s="75" t="str">
        <x:v>成员平铺带团体标识，直接查每天张数与成员色</x:v>
      </x:c>
      <x:c r="D63" s="75" t="str">
        <x:v>已完成</x:v>
      </x:c>
      <x:c r="E63" s="75" t="str">
        <x:v>P0</x:v>
      </x:c>
      <x:c r="F63" s="75" t="str">
        <x:v>WF-006</x:v>
      </x:c>
      <x:c r="G63" s="77" t="n">
        <x:v>0</x:v>
      </x:c>
      <x:c r="H63" s="77" t="n">
        <x:v>0</x:v>
      </x:c>
      <x:c r="I63" s="75" t="str">
        <x:v>按用户反馈改统计结构与待处理入口</x:v>
      </x:c>
      <x:c r="J63" s="75" t="str">
        <x:v>成员平铺列表，团体只作姓名前缀/标签；点成员→每日→当天记录；取消重复口径切换；颜色设置联动；统一待处理按实物去重；规范/原型同步</x:v>
      </x:c>
      <x:c r="K63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3" s="75" t="str">
        <x:v>只改设计演示；保留独立完成/领取状态及原始需求；不改Flutter/真库/设备/身份/工具链</x:v>
      </x:c>
      <x:c r="M63" s="75" t="str">
        <x:v>UI规范/原型/设计图/规划</x:v>
      </x:c>
      <x:c r="N63" s="131"/>
      <x:c r="O63" s="132"/>
      <x:c r="P63" s="132"/>
      <x:c r="Q63" s="75" t="str">
        <x:v>用户评审修正独立设计包，无产品发布/版本升级</x:v>
      </x:c>
    </x:row>
    <x:row r="64" ht="200" customHeight="1">
      <x:c r="A64" s="53" t="str">
        <x:v>WF-008</x:v>
      </x:c>
      <x:c r="B64" s="53" t="str">
        <x:v>时间范围、领取与记录编辑</x:v>
      </x:c>
      <x:c r="C64" s="53" t="str">
        <x:v>按事件统计，登记两页且可修改</x:v>
      </x:c>
      <x:c r="D64" s="53" t="str">
        <x:v>已完成</x:v>
      </x:c>
      <x:c r="E64" s="53" t="str">
        <x:v>P0</x:v>
      </x:c>
      <x:c r="F64" s="53" t="str">
        <x:v>WF-007</x:v>
      </x:c>
      <x:c r="G64" s="59" t="n">
        <x:v>0</x:v>
      </x:c>
      <x:c r="H64" s="59" t="n">
        <x:v>0</x:v>
      </x:c>
      <x:c r="I64" s="53" t="str">
        <x:v>按用户新规则修正交互和数据契约</x:v>
      </x:c>
      <x:c r="J64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4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4" s="53" t="str">
        <x:v>仅设计与合成演示；不改Flutter/真实数据/身份/工具链/设备/发布；旧完成事实留历史档案</x:v>
      </x:c>
      <x:c r="M64" s="53" t="str">
        <x:v>原型/交互/领域契约/需求覆盖/规划</x:v>
      </x:c>
      <x:c r="N64" s="129"/>
      <x:c r="O64" s="130"/>
      <x:c r="P64" s="130"/>
      <x:c r="Q64" s="53" t="str">
        <x:v>用户修改尚未实施的需求，设计包不触发App升版；基础与持久化另验</x:v>
      </x:c>
    </x:row>
    <x:row r="65" ht="240" customHeight="1">
      <x:c r="A65" s="75" t="str">
        <x:v>WF-009</x:v>
      </x:c>
      <x:c r="B65" s="75" t="str">
        <x:v>日期与快捷登记修订</x:v>
      </x:c>
      <x:c r="C65" s="75" t="str">
        <x:v>简洁词语和可扩展成员选择</x:v>
      </x:c>
      <x:c r="D65" s="75" t="str">
        <x:v>已完成</x:v>
      </x:c>
      <x:c r="E65" s="75" t="str">
        <x:v>P0</x:v>
      </x:c>
      <x:c r="F65" s="75" t="str">
        <x:v>WF-008</x:v>
      </x:c>
      <x:c r="G65" s="77" t="n">
        <x:v>0</x:v>
      </x:c>
      <x:c r="H65" s="77" t="n">
        <x:v>0</x:v>
      </x:c>
      <x:c r="I65" s="75" t="str">
        <x:v>按用户反馈修正日期粒度、成员与默认值</x:v>
      </x:c>
      <x:c r="J65" s="75" t="str">
        <x:v>去重复口径提示/实物术语；发生日期到天，录入动作留时间戳；下拉成员；带签/无签显式；领取三选默认已领；默认扣券；当前契约与规划同步</x:v>
      </x:c>
      <x:c r="K65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5" s="75" t="str">
        <x:v>仅合成原型，不改Flutter/真库/身份/工具链/手机/发布；保留旧事实；初始已领采用允许的不设实际时间方案，偏好待复核</x:v>
      </x:c>
      <x:c r="M65" s="75" t="str">
        <x:v>UI原型/领域契约/需求/规划</x:v>
      </x:c>
      <x:c r="N65" s="131"/>
      <x:c r="O65" s="132"/>
      <x:c r="P65" s="132"/>
      <x:c r="Q65" s="75" t="str">
        <x:v>未发布设计修订，不触发App版本或里程碑通过</x:v>
      </x:c>
    </x:row>
    <x:row r="66" ht="240" customHeight="1">
      <x:c r="A66" s="53" t="str">
        <x:v>WF-010</x:v>
      </x:c>
      <x:c r="B66" s="53" t="str">
        <x:v>属性互斥与扣券明细</x:v>
      </x:c>
      <x:c r="C66" s="53" t="str">
        <x:v>明确勾选及背签条件，扣券直接可见</x:v>
      </x:c>
      <x:c r="D66" s="53" t="str">
        <x:v>已完成</x:v>
      </x:c>
      <x:c r="E66" s="53" t="str">
        <x:v>P0</x:v>
      </x:c>
      <x:c r="F66" s="53" t="str">
        <x:v>WF-009</x:v>
      </x:c>
      <x:c r="G66" s="59" t="n">
        <x:v>0</x:v>
      </x:c>
      <x:c r="H66" s="59" t="n">
        <x:v>0</x:v>
      </x:c>
      <x:c r="I66" s="53" t="str">
        <x:v>按用户反馈修正属性规则和明细可见性</x:v>
      </x:c>
      <x:c r="J66" s="53" t="str">
        <x:v>无签/有签/宿题勾选式三选一，默认有签；背签仅有签可用，切换清除；扣券明细常开无折叠；规范与相依范围同步</x:v>
      </x:c>
      <x:c r="K66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6" s="53" t="str">
        <x:v>只改合成原型/规则/规划；不改Flutter/真库/手机/身份/工具链/发布；旧冲突属性不静默转换</x:v>
      </x:c>
      <x:c r="M66" s="53" t="str">
        <x:v>原型/UI/实体/记录/统计/规划</x:v>
      </x:c>
      <x:c r="N66" s="129"/>
      <x:c r="O66" s="130"/>
      <x:c r="P66" s="130"/>
      <x:c r="Q66" s="53" t="str">
        <x:v>未发布设计修订，不触发App升版或阶段通过</x:v>
      </x:c>
    </x:row>
    <x:row r="67" ht="230" customHeight="1">
      <x:c r="A67" s="75" t="str">
        <x:v>WF-011</x:v>
      </x:c>
      <x:c r="B67" s="75" t="str">
        <x:v>属性同行与UI实施定位</x:v>
      </x:c>
      <x:c r="C67" s="75" t="str">
        <x:v>知道每个页面何时落地和如何检查</x:v>
      </x:c>
      <x:c r="D67" s="75" t="str">
        <x:v>已完成</x:v>
      </x:c>
      <x:c r="E67" s="75" t="str">
        <x:v>P0</x:v>
      </x:c>
      <x:c r="F67" s="75" t="str">
        <x:v>WF-010</x:v>
      </x:c>
      <x:c r="G67" s="77" t="n">
        <x:v>0</x:v>
      </x:c>
      <x:c r="H67" s="77" t="n">
        <x:v>0</x:v>
      </x:c>
      <x:c r="I67" s="75" t="str">
        <x:v>把当前UI纳入真实开发范围和阶段门槛</x:v>
      </x:c>
      <x:c r="J67" s="75" t="str">
        <x:v>四属性同行，原互斥/依赖保留；UI-20261011-R1开发基线；主题/各页/管理/编辑映射现有相依包；阶段产物/验收/风险同步</x:v>
      </x:c>
      <x:c r="K67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7" s="75" t="str">
        <x:v>只改原型/规范/规划；不改Flutter/数据/手机/身份/工具链/发布；不标业务或阶段完成</x:v>
      </x:c>
      <x:c r="M67" s="75" t="str">
        <x:v>UI/开发范围/阶段检查/四表</x:v>
      </x:c>
      <x:c r="N67" s="131"/>
      <x:c r="O67" s="132"/>
      <x:c r="P67" s="132"/>
      <x:c r="Q67" s="75" t="str">
        <x:v>规划澄清与原型小修，不新增产品版或主线工作包</x:v>
      </x:c>
    </x:row>
    <x:row r="68" ht="280" customHeight="1">
      <x:c r="A68" s="53" t="str">
        <x:v>WF-013</x:v>
      </x:c>
      <x:c r="B68" s="53" t="str">
        <x:v>阶段工作包与检查点同段</x:v>
      </x:c>
      <x:c r="C68" s="53" t="str">
        <x:v>清楚看到任务阶段归属及M1前数量</x:v>
      </x:c>
      <x:c r="D68" s="53" t="str">
        <x:v>已完成</x:v>
      </x:c>
      <x:c r="E68" s="53" t="str">
        <x:v>P0</x:v>
      </x:c>
      <x:c r="F68" s="53" t="str">
        <x:v>WF-012</x:v>
      </x:c>
      <x:c r="G68" s="59" t="n">
        <x:v>0</x:v>
      </x:c>
      <x:c r="H68" s="59" t="n">
        <x:v>0</x:v>
      </x:c>
      <x:c r="I68" s="53" t="str">
        <x:v>按阶段连续排列工作包与M检查点</x:v>
      </x:c>
      <x:c r="J68" s="53" t="str">
        <x:v>重排版本规划；M0–M5检查点紧随对应包；UI-FIX-001放M1前；读表指导与行号依赖检查适配</x:v>
      </x:c>
      <x:c r="K68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8" s="53" t="str">
        <x:v>不改变业务范围/依赖/估算/产品目标/阶段状态，不操作App或设备</x:v>
      </x:c>
      <x:c r="M68" s="53" t="str">
        <x:v>规划展示/开发指导/流程校验</x:v>
      </x:c>
      <x:c r="N68" s="129"/>
      <x:c r="O68" s="130"/>
      <x:c r="P68" s="130"/>
      <x:c r="Q68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4:H54"/>
    <x:mergeCell ref="I54:Q54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0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3">
      <x:formula1>"待开始,本地通过/待实机,待用户复核,已验收,需整改"</x:formula1>
    </x:dataValidation>
    <x:dataValidation type="list" sqref="D68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续完原设备轮：重连唯一S25，实际全备份/E与NAS核验，固定身份/签名/install-r、两次冷启动及前后完整数据设置附件逐字节对账、仅本轮临时文件清理；手机留首页，本轮设备结束</x:v>
      </x:c>
      <x:c r="G60" s="10" t="str">
        <x:v>不清数据/卸载/真实恢复/导入/测试写入，不改方向息屏；不把设备请求当r4开发或恢复定时授权</x:v>
      </x:c>
      <x:c r="H60" s="10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I60" s="10" t="str">
        <x:v>已完成</x:v>
      </x:c>
      <x:c r="J60" s="10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K60" s="10" t="str">
        <x:v>设备交付与四表通过历史/原生结构检查后，用commit-and-push本地提交立即上传origin/personal/customization并核对；保留此前连接中断证据，不回写已结束开发/规划。</x:v>
      </x:c>
      <x:c r="L60" s="10" t="str">
        <x:v>15013已安装待用户功能，停用来源r4仅规划未实施；无新待安装APK，PAUSED保持；设备及必要双备份授权仅本轮，不延续后续。</x:v>
      </x:c>
    </x:row>
    <x:row r="61" ht="350" customHeight="1">
      <x:c r="A61" s="10" t="str">
        <x:v>ROUND-20261021-BI-DATE-PLAN-01</x:v>
      </x:c>
      <x:c r="B61" s="72" t="n">
        <x:v>46316</x:v>
      </x:c>
      <x:c r="C61" s="10" t="str">
        <x:v>v1.5.1-r4</x:v>
      </x:c>
      <x:c r="D61" s="10" t="str">
        <x:v>统计今日/日历/月年导航，仅规划</x:v>
      </x:c>
      <x:c r="E61" s="10" t="str">
        <x:v>用户反馈统计时间加今日、日期输入换日历点选、加入月年切换按钮；按DEC066仅记录分析排期</x:v>
      </x:c>
      <x:c r="F61" s="10" t="str">
        <x:v>合入未开发r4，保留停用来源完整范围；复用BiPeriod/现有步进，替换共用日期弹窗并新增今日；同包2–4人日，20主线总64–109/待开发1包</x:v>
      </x:c>
      <x:c r="G61" s="10" t="str">
        <x:v>不改Dart/业务配置/原型、不产品测试或构建、不设备/NAS/真实数据写入，不恢复PAUSED定时，不改变周界/发生日/原筛选/成本/CSV位置</x:v>
      </x:c>
      <x:c r="H61" s="10" t="str">
        <x:v>统计时间问题记录、现有日期弹窗/期间步进及共享消费者源码分析、需求规格和r4合并排期完成；四表历史/范围归档、依赖/估算重算、无关原值和公式/验证/合并/视图保护、受影响视图检查通过。无产品实现或新测试/构建/设备操作。</x:v>
      </x:c>
      <x:c r="I61" s="10" t="str">
        <x:v>已完成</x:v>
      </x:c>
      <x:c r="J61" s="10" t="str">
        <x:v>今日为日范围快捷操作保留其他筛选，日历确认生效/取消不变；日历切月选年及月/年期间具体按钮，布局可逆待检查；15013已装但不含r4</x:v>
      </x:c>
      <x:c r="K61" s="10" t="str">
        <x:v>需求文档及四表通过commit-and-push本地提交立即上传origin/personal/customization并核对一致；定时实际PAUSED保持。</x:v>
      </x:c>
      <x:c r="L61" s="10" t="str">
        <x:v>下一唯一仍r4/产品1.2.0拟rc.10/code&gt;=15014，仅计划，直接开发或明确恢复后实施；设备及阶段另授权</x:v>
      </x:c>
    </x:row>
    <x:row r="62" ht="360" customHeight="1">
      <x:c r="A62" s="10" t="str">
        <x:v>ROUND-20261021-V151-R4-01</x:v>
      </x:c>
      <x:c r="B62" s="72" t="n">
        <x:v>46316</x:v>
      </x:c>
      <x:c r="C62" s="10" t="str">
        <x:v>v1.5.1-r4</x:v>
      </x:c>
      <x:c r="D62" s="10" t="str">
        <x:v>停用来源和统计日期整包开发</x:v>
      </x:c>
      <x:c r="E62" s="10" t="str">
        <x:v>用户明确完成这个包；此前规划和15013设备交付已闭合上传，不重复旧包</x:v>
      </x:c>
      <x:c r="F62" s="10" t="str">
        <x:v>完整停用来源四组合/共享管理选择提示，今日/日历/月年导航和共用消费者，适用回归/静态/恢复/生产审计、固定身份正式1.2.0-rc.10/15014；原2–4人日范围不缩减</x:v>
      </x:c>
      <x:c r="G62" s="10" t="str">
        <x:v>不ADB/手机/NAS/安装/真实写入或删历史，不改选择规则/数据库schema/原日期成本，不恢复PAUSED，不开始第二包</x:v>
      </x:c>
      <x:c r="H62" s="10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62" s="10" t="str">
        <x:v>本地完成/待实机</x:v>
      </x:c>
      <x:c r="J62" s="10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K62" s="10" t="str">
        <x:v>完整代码/自动验证/正式签名与四表通过检查后，本地提交立即上传origin个人分支并核对一致；实际上传收据交付核验。</x:v>
      </x:c>
      <x:c r="L62" s="10" t="str">
        <x:v>本轮仅此r4，保持PAUSED；设备/安装/M5日用另授权，最后按最新四表判断下一包</x:v>
      </x:c>
    </x:row>
    <x:row r="63" ht="350" customHeight="1">
      <x:c r="A63" s="135" t="str">
        <x:v>ROUND-20261021-S25-UPGRADE-15014-01</x:v>
      </x:c>
      <x:c r="B63" s="135" t="n">
        <x:v>46316</x:v>
      </x:c>
      <x:c r="C63" s="135" t="str">
        <x:v>v1.5.1-r4</x:v>
      </x:c>
      <x:c r="D63" s="135" t="str">
        <x:v>S25覆盖安装15014</x:v>
      </x:c>
      <x:c r="E63" s="135" t="str">
        <x:v>用户直接覆盖安装；开发轮已完整闭合并上传</x:v>
      </x:c>
      <x:c r="F63" s="135" t="str">
        <x:v>先当前全备份E/NAS逐文件核验，再固定身份install-r及前后完整数据/设置/附件对账与冷启动，最后只清理本轮临时文件</x:v>
      </x:c>
      <x:c r="G63" s="135" t="str">
        <x:v>不清数据/卸载/降级，不测试真实编辑或恢复，不改方向息屏，不恢复定时</x:v>
      </x:c>
      <x:c r="H63" s="135" t="str">
        <x:v>2026-10-21用户明确覆盖安装15014。已发现原S25无线服务，同LAN且TCP可达，但ADB配对TLS被手机拒绝certificate unknown；原IP和mDNS名称重试均未接通。需新配对端口和临时码，已请求；未取得当前备份，未写NAS、未安装或改数据/方向息屏。</x:v>
      </x:c>
      <x:c r="I63" s="135" t="str">
        <x:v>进行中</x:v>
      </x:c>
      <x:c r="J63" s="135" t="str">
        <x:v>配对凭据失效待用户提供新配对信息；15014未装，最近核实15013；M5/交互仍待</x:v>
      </x:c>
      <x:c r="K63" s="135" t="str">
        <x:v>本轮连接准备和准确待续记录本地提交立即上传origin个人分支并核对</x:v>
      </x:c>
      <x:c r="L63" s="135" t="str">
        <x:v>同一ROUND待连接恢复后续完，不重复开发/构建；设备/NAS授权仅此次交付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本地与签名完成/用户实机待验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本地验证收敛/用户实机待检查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3" s="135" t="str">
        <x:v>定时PAUSED保持；不得把普通反馈或既有覆盖安装授权扩大为开发/数据修改授权</x:v>
      </x:c>
    </x:row>
    <x:row r="124" ht="350" customHeight="1">
      <x:c r="A124" s="135" t="str">
        <x:v>DEC-079</x:v>
      </x:c>
      <x:c r="B124" s="135" t="str">
        <x:v>统计今日和日历月年切换</x:v>
      </x:c>
      <x:c r="C124" s="135" t="str">
        <x:v>2026-10-21用户要求统计时间额外今日、日期输入改日历点击、加入切换月/年的按钮</x:v>
      </x:c>
      <x:c r="D124" s="135" t="str">
        <x:v>v151-r4/M5/BiPage共用日期与成员日视图</x:v>
      </x:c>
      <x:c r="E124" s="135" t="str">
        <x:v>今日快捷设上海当天日范围保留其他筛选；日历选日确认才更新/取消保持，保留原日周月年所有；日历切月选年，统计月范围上月下月/年范围上一年下一年，复用BiPeriod；管理共用同步且成员日视图限制期间</x:v>
      </x:c>
      <x:c r="F124" s="135" t="str">
        <x:v>本地与签名完成/用户实机待验</x:v>
      </x:c>
      <x:c r="G124" s="135" t="str">
        <x:v>并入尚未开发r4，原停用来源全保留；不新增持久化或改周界/原日期/成本/CSV位置</x:v>
      </x:c>
      <x:c r="H124" s="135" t="str">
        <x:v>BiPage已有五范围和上一下一期间，_BiDateDialog仍YYYY-MM-DD TextField；_chooseDate被成员日视图复用，BiPeriod已有month/year move；仅源码评估非实机通过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4" s="135" t="str">
        <x:v>今日是日范围快捷操作，布局实施后可逆复核；2–4人日，拟rc.10/15014仍无APK，PAUSED不恢复</x:v>
      </x:c>
    </x:row>
    <x:row r="125" ht="350" customHeight="1">
      <x:c r="A125" s="135" t="str">
        <x:v>RISK-039</x:v>
      </x:c>
      <x:c r="B125" s="135" t="str">
        <x:v>快捷日期与日历期间状态偏移</x:v>
      </x:c>
      <x:c r="C125" s="135" t="str">
        <x:v>今日若误清筛选/按设备不同时区，日历翻页提前提交或越过成员当前期间，会展示错统计范围</x:v>
      </x:c>
      <x:c r="D125" s="135" t="str">
        <x:v>r4统计日期/管理报表/下钻及M5</x:v>
      </x:c>
      <x:c r="E125" s="135" t="str">
        <x:v>复用业务时钟与BiPeriod，提交/取消分离，今日保留其他筛选；跨月跨年/闰日/31日短月/极限日期、成员范围和管理共用一致，portrait200%具体按钮语义检查</x:v>
      </x:c>
      <x:c r="F125" s="135" t="str">
        <x:v>本地验证收敛/用户实机待检查</x:v>
      </x:c>
      <x:c r="G125" s="135" t="str">
        <x:v>本轮仅规划，后续整包自动验证/正式签名与实机分层，不以新增控件改历史</x:v>
      </x:c>
      <x:c r="H125" s="135" t="str">
        <x:v>r4从1–2扩为2–4人日，M5本段16–28/累计64–109；没有新包/新APK/产品测试或设备动作，15013已装事实保留；2026-10-21用户明确完成整包，本轮ROUND-20261021-V151-R4-01先基础后消费者，完整范围不缩减；基于15013用户尚未完整实机验收继续，Android累计风险保留，无设备/NAS授权，不恢复定时。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5" s="135" t="str">
        <x:v>未决布局不阻后续安全本地分支；仍须直接开发或明确恢复，不把本反馈扩大为设备/业务修改授权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-21完整r4/M5/产品1.2.0-rc.10/15014本地与签名交付，435全量/静态/兼容恢复/生产签名有证据。20主线均本地完成，无下一已排定可执行包；手机最近核实15013，唯一新待安装15014，用户/M5未验，定时实际PAUSED保持，不自行恢复或空检查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350" customHeight="1">
      <x:c r="A262" s="135" t="str">
        <x:v>S25-UPGRADE-15013-20261020</x:v>
      </x:c>
      <x:c r="B262" s="135" t="str">
        <x:v>续完原设备交付</x:v>
      </x:c>
      <x:c r="C262" s="135" t="str">
        <x:v>ROUND-20261020-S25-UPGRADE-15013-01；此前连接中断保留历史</x:v>
      </x:c>
      <x:c r="D262" s="135" t="str">
        <x:v>v1.5.1-r3/15013</x:v>
      </x:c>
      <x:c r="E262" s="135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F262" s="135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</x:row>
    <x:row r="263" ht="350" customHeight="1">
      <x:c r="A263" s="135" t="str">
        <x:v>HISTORY-S25-UPGRADE-15013-M5-20261020</x:v>
      </x:c>
      <x:c r="B263" s="135" t="str">
        <x:v>此次设备交付前M5完整行</x:v>
      </x:c>
      <x:c r="C263" s="135" t="str">
        <x:v>r4新排期及原历史/估算/未验状态保留</x:v>
      </x:c>
      <x:c r="D263" s="135" t="str">
        <x:v>M5</x:v>
      </x:c>
      <x:c r="E263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", "M4", "已完成日用验收的1.2.0；稳定化不凭空升补丁号"]</x:v>
      </x:c>
      <x:c r="F263" s="135" t="str">
        <x:v>只追加实际安装/数据保持，M5因r4及用户日用仍需整改，不宣称通过</x:v>
      </x:c>
    </x:row>
    <x:row r="264" ht="350" customHeight="1">
      <x:c r="A264" s="135" t="str">
        <x:v>HISTORY-R4-BI-DATE-20261021</x:v>
      </x:c>
      <x:c r="B264" s="135" t="str">
        <x:v>新增统计日期前r4完整范围</x:v>
      </x:c>
      <x:c r="C264" s="135" t="str">
        <x:v>保留原1–2人日/停用来源范围，不回写结束ROUND</x:v>
      </x:c>
      <x:c r="D264" s="135" t="str">
        <x:v>v1.5.1-r4</x:v>
      </x:c>
      <x:c r="E264" s="135" t="str">
        <x:v>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15014.0]；完整17列：["v1.5.1-r4",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15014.0, "1.2.0", "M5", "15013后新增停用提示修复，原包已交不回写；产品1.2.0未正式发布，拟rc.10不另造产品补丁"]</x:v>
      </x:c>
      <x:c r="F264" s="135" t="str">
        <x:v>当前完整r4调整为2–4人日，原身份/依赖/产品号保持</x:v>
      </x:c>
    </x:row>
    <x:row r="265" ht="350" customHeight="1">
      <x:c r="A265" s="135" t="str">
        <x:v>HISTORY-M5-BI-DATE-20261021</x:v>
      </x:c>
      <x:c r="B265" s="135" t="str">
        <x:v>新增统计日期前M5完整行</x:v>
      </x:c>
      <x:c r="C265" s="135" t="str">
        <x:v>保留原15–26/累计63–107及15013已安装和未验历史</x:v>
      </x:c>
      <x:c r="D265" s="135" t="str">
        <x:v>M5</x:v>
      </x:c>
      <x:c r="E265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", "M4", "已完成日用验收的1.2.0；稳定化不凭空升补丁号"]</x:v>
      </x:c>
      <x:c r="F265" s="135" t="str">
        <x:v>新本段16–28/累计64–109；M5仍需整改，不把规划当通过</x:v>
      </x:c>
    </x:row>
    <x:row r="266" ht="350" customHeight="1">
      <x:c r="A266" s="135" t="str">
        <x:v>BI-DATE-FILTER-FIX-20261021</x:v>
      </x:c>
      <x:c r="B266" s="135" t="str">
        <x:v>今日、日历及月年导航</x:v>
      </x:c>
      <x:c r="C266" s="135" t="str">
        <x:v>2026-10-21用户反馈；ROUND-20261021-BI-DATE-PLAN-01</x:v>
      </x:c>
      <x:c r="D266" s="135" t="str">
        <x:v>v1.5.1-r4/M5/1.2.0</x:v>
      </x:c>
      <x:c r="E266" s="135" t="str">
        <x:v>BI_DATE_FILTER_FIX_20261021.md；上海当天快捷日范围、共用日期日历确认取消、日历切月选年及月年范围明确前后按钮；原筛选/统计口径保持</x:v>
      </x:c>
      <x:c r="F266" s="135" t="str">
        <x:v>仅规划并入下一唯一r4，2–4人日，拟rc.10/code&gt;=15014无新APK；15013已装不含本修复；PAUSED保持</x:v>
      </x:c>
    </x:row>
    <x:row r="267" ht="350" customHeight="1">
      <x:c r="A267" s="135" t="str">
        <x:v>HISTORY-V151-R4-M5-20261021</x:v>
      </x:c>
      <x:c r="B267" s="135" t="str">
        <x:v>本次开发前M5完整行</x:v>
      </x:c>
      <x:c r="C267" s="135" t="str">
        <x:v>原估算/新增范围与15013已安装未验事实保留</x:v>
      </x:c>
      <x:c r="D267" s="135" t="str">
        <x:v>M5</x:v>
      </x:c>
      <x:c r="E267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", "M4", "已完成日用验收的1.2.0；稳定化不凭空升补丁号"]</x:v>
      </x:c>
      <x:c r="F267" s="135" t="str">
        <x:v>整包本地完成也不能自动标用户/M5通过</x:v>
      </x:c>
    </x:row>
    <x:row r="268" ht="350" customHeight="1">
      <x:c r="A268" s="135" t="str">
        <x:v>V151-R4-LOCAL-20261021</x:v>
      </x:c>
      <x:c r="B268" s="135" t="str">
        <x:v>停用与统计日期完整修复</x:v>
      </x:c>
      <x:c r="C268" s="135" t="str">
        <x:v>ROUND-20261021-V151-R4-01</x:v>
      </x:c>
      <x:c r="D268" s="135" t="str">
        <x:v>v1.5.1-r4/M5/1.2.0</x:v>
      </x:c>
      <x:c r="E268" s="135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F268" s="135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</x:row>
    <x:row r="269" ht="350" customHeight="1">
      <x:c r="A269" s="135" t="str">
        <x:v>S25-UPGRADE-15014-PENDING-20261021</x:v>
      </x:c>
      <x:c r="B269" s="135" t="str">
        <x:v>设备覆盖待重新配对</x:v>
      </x:c>
      <x:c r="C269" s="135" t="str">
        <x:v>ROUND-20261021-S25-UPGRADE-15014-01</x:v>
      </x:c>
      <x:c r="D269" s="135" t="str">
        <x:v>v1.5.1-r4/15014</x:v>
      </x:c>
      <x:c r="E269" s="135" t="str">
        <x:v>2026-10-21用户明确覆盖安装15014。已发现原S25无线服务，同LAN且TCP可达，但ADB配对TLS被手机拒绝certificate unknown；原IP和mDNS名称重试均未接通。需新配对端口和临时码，已请求；未取得当前备份，未写NAS、未安装或改数据/方向息屏。</x:v>
      </x:c>
      <x:c r="F269" s="135" t="str">
        <x:v>保留15014本地完成/待实机、15013最近已装及M5待用户，定时PAUSED保持。连接后先新全备份再安装；本条连接中断保留历史，交付另追加，不回写已结束轮。</x:v>
      </x:c>
    </x:row>
  </x:sheetData>
  <x:pageMargins left="0.7" right="0.7" top="0.75" bottom="0.75" header="0.3" footer="0.3"/>
</x:worksheet>
</file>