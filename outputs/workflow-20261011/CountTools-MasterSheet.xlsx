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3e85c009bb42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9764c6482ea4316"/>
    <x:sheet xmlns:r="http://schemas.openxmlformats.org/officeDocument/2006/relationships" name="Changelog" sheetId="2" r:id="R71efc27647c84ae4"/>
    <x:sheet xmlns:r="http://schemas.openxmlformats.org/officeDocument/2006/relationships" name="决策与风险" sheetId="3" r:id="Re2b2e10370ca452f"/>
    <x:sheet xmlns:r="http://schemas.openxmlformats.org/officeDocument/2006/relationships" name="执行约定" sheetId="4" r:id="Rd4eca49ccae540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316f988f34d12" /><Relationship Type="http://schemas.openxmlformats.org/officeDocument/2006/relationships/theme" Target="/xl/theme/theme1.xml" Id="R76eff73a19174ebb" /><Relationship Type="http://schemas.openxmlformats.org/officeDocument/2006/relationships/sharedStrings" Target="/xl/sharedStrings.xml" Id="Reb556263b6f343a9" /><Relationship Type="http://schemas.openxmlformats.org/officeDocument/2006/relationships/worksheet" Target="/xl/worksheets/sheet1.xml" Id="Rd9764c6482ea4316" /><Relationship Type="http://schemas.openxmlformats.org/officeDocument/2006/relationships/worksheet" Target="/xl/worksheets/sheet2.xml" Id="R71efc27647c84ae4" /><Relationship Type="http://schemas.openxmlformats.org/officeDocument/2006/relationships/worksheet" Target="/xl/worksheets/sheet3.xml" Id="Re2b2e10370ca452f" /><Relationship Type="http://schemas.openxmlformats.org/officeDocument/2006/relationships/worksheet" Target="/xl/worksheets/sheet4.xml" Id="Rd4eca49ccae540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2026-10-25新增下一唯一v151-r5/M5/产品1.2.0：成员团体花费原地筛选、成员展示统一同人合计，仅规划3–5人日；21主线累计67–114，待开发1包。15014已装/功能M5待验，拟rc.11/15015无新APK。Now Brief公开接入未确认，仅研究不列硬依赖；PAUSED保持。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COUNTIFS(D8:D69,"待开发")</x:f>
        <x:v>1</x:v>
      </x:c>
      <x:c r="C4" s="2" t="str">
        <x:v>最少人日</x:v>
      </x:c>
      <x:c r="D4" s="2" t="n">
        <x:f>SUMIFS(G8:G69,D8:D69,"待开发")</x:f>
        <x:v>3</x:v>
      </x:c>
      <x:c r="E4" s="2" t="str">
        <x:v>最多人日</x:v>
      </x:c>
      <x:c r="F4" s="2" t="n">
        <x:f>SUMIFS(H8:H69,D8:D69,"待开发")</x:f>
        <x:v>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稳定化与正式日用验收（6包）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540" customHeight="1">
      <x:c r="A51" s="75" t="str">
        <x:v>v1.5.1-r4</x:v>
      </x:c>
      <x:c r="B51" s="75" t="str">
        <x:v>停用来源与统计时间筛选fix</x:v>
      </x:c>
      <x:c r="C51" s="75" t="str">
        <x:v>识别停用来源，快捷按今日和日历查统计</x:v>
      </x:c>
      <x:c r="D51" s="75" t="str">
        <x:v>已安装/待验收</x:v>
      </x:c>
      <x:c r="E51" s="75" t="str">
        <x:v>P0</x:v>
      </x:c>
      <x:c r="F51" s="75" t="str">
        <x:v>v1.5.1-r3</x:v>
      </x:c>
      <x:c r="G51" s="77" t="n">
        <x:v>2</x:v>
      </x:c>
      <x:c r="H51" s="77" t="n">
        <x:v>4</x:v>
      </x:c>
      <x:c r="I51" s="75" t="str">
        <x:v>先只读状态原因模型，再共用管理卡片/成员选项/相关提示，最后四组合与恢复回归；统计分支先复用BiPeriod/业务当天与日期约束，再共用日历/今日及具体月年导航，最后与停用来源同包回归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；2026-10-21追加：今日快捷设上海当天日范围，保留其他筛选；日期文本改日历点击确认/取消，日历切月选年；月范围上月/下月、年范围上一年/下一年具体导航；管理共用BiPage同步、成员日历保留期间限制。见BI_DATE_FILTER_FIX_20261021.md</x:v>
      </x:c>
      <x:c r="K51" s="75" t="str">
        <x:v>仅源码分析和规划，无业务修改/新APK。需四组合、恢复团体后自身状态保持、历史/空团体/缺失关系、portrait320–430/200%语义与原库存/完整恢复验证；新增仅源码分析未实现；需今日跨日/所有转日、日历确认取消、跨月跨年闰日及边界、成员期间限制/管理同源和portrait200%证据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L51" s="75" t="str">
        <x:v>个人按成员身份解释，不扩展为Person级级联；不修改原active/ID/NULL/历史/成本/库存；具体措辞和双原因布局待检查，定时实际PAUSED不恢复；今日不补历史日期、不新增统计口径；其他筛选及周界保留，日历翻页不提前提交，具体月年按钮布局实施后检查。15013已安装/数据保持核验，不含本fix；PAUSED保持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M51" s="75" t="str">
        <x:v>成员目录/只读原因、共用实体网格与成员输入、相关服务异常及对应测试/UI说明；无schema迁移；统计BiPage/共用日期弹窗、BiPeriod必要导航适配及成员每日/管理报表消费者、日期/widget测试/UI说明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15013后新增停用提示修复，原包已交不回写；产品1.2.0未正式发布，拟rc.10不另造产品补丁；未开发同包小修合并，原停用来源范围保留；2–4人日/累计64–109，仅计划无新候选</x:v>
      </x:c>
    </x:row>
    <x:row r="52" ht="350" customHeight="1">
      <x:c r="A52" s="75" t="str">
        <x:v>v1.5.1-r5</x:v>
      </x:c>
      <x:c r="B52" s="75" t="str">
        <x:v>成员花费原地筛选与同人统一fix</x:v>
      </x:c>
      <x:c r="C52" s="75" t="str">
        <x:v>花费不跳页，成员展示与同人合计同源</x:v>
      </x:c>
      <x:c r="D52" s="75" t="str">
        <x:v>待开发</x:v>
      </x:c>
      <x:c r="E52" s="75" t="str">
        <x:v>P0</x:v>
      </x:c>
      <x:c r="F52" s="75" t="str">
        <x:v>v1.5.1-r4</x:v>
      </x:c>
      <x:c r="G52" s="77" t="n">
        <x:v>3</x:v>
      </x:c>
      <x:c r="H52" s="77" t="n">
        <x:v>5</x:v>
      </x:c>
      <x:c r="I52" s="75" t="str">
        <x:v>先统一身份集合和金额归属，再接原地筛选、排行/每日/饼图及管理消费者</x:v>
      </x:c>
      <x:c r="J52" s="75" t="str">
        <x:v>花费入口改与成员筛选一致的页内下拉，不再导航独立花费页；只保留成员筛选/排行，内部已手动关联按Person聚合、未关联按成员；团体筛选保持原记录归属；颜色/代表身份和共同费用建议待检查。见BI_MEMBER_SPENDING_FIX_20261025.md</x:v>
      </x:c>
      <x:c r="K52" s="75" t="str">
        <x:v>仅源码分析和规划，无业务改动或新APK。待验：无关联/关联/解除、转团同名/多人不重数、5张400元及A团3张240元、精确成本和共同费用不平摊、筛选清除/今日日历/刷新、portrait320–430/200%/恢复兼容及正式签名</x:v>
      </x:c>
      <x:c r="L52" s="75" t="str">
        <x:v>代表身份/颜色方案与全同人共同费用待用户检查，仅相依分支保守只读预览；15014已装功能及M5仍待。PAUSED不恢复，直接开发或明确恢复后下一唯一本包；设备另授权</x:v>
      </x:c>
      <x:c r="M52" s="75" t="str">
        <x:v>BI只读身份/花费查询、共享筛选与排行/每日/饼图/管理报表、测试文档</x:v>
      </x:c>
      <x:c r="N52" s="131" t="n">
        <x:v>15015</x:v>
      </x:c>
      <x:c r="O52" s="132" t="str">
        <x:v>1.2.0</x:v>
      </x:c>
      <x:c r="P52" s="132" t="str">
        <x:v>M5</x:v>
      </x:c>
      <x:c r="Q52" s="75" t="str">
        <x:v>已交统计体验修复合一包；无正式发布不虚构1.2.1，拟rc.11/code&gt;=15015仅计划；只读兼容不改schema或历史</x:v>
      </x:c>
    </x:row>
    <x:row r="53" ht="40" customHeight="1">
      <x:c r="A53" s="82" t="str">
        <x:v>里程碑</x:v>
      </x:c>
      <x:c r="B53" s="82" t="str">
        <x:v>检查点</x:v>
      </x:c>
      <x:c r="C53" s="82" t="str">
        <x:v>包含工作包</x:v>
      </x:c>
      <x:c r="D53" s="82" t="str">
        <x:v>当前状态</x:v>
      </x:c>
      <x:c r="E53" s="82" t="str">
        <x:v>App目标版本</x:v>
      </x:c>
      <x:c r="F53" s="82" t="str">
        <x:v>你检查的场景</x:v>
      </x:c>
      <x:c r="G53" s="82" t="str">
        <x:v>本段人日</x:v>
      </x:c>
      <x:c r="H53" s="82" t="str">
        <x:v>累计人日</x:v>
      </x:c>
      <x:c r="I53" s="82" t="str">
        <x:v>需交付的验收材料</x:v>
      </x:c>
      <x:c r="J53" s="82" t="str">
        <x:v>检查方式</x:v>
      </x:c>
      <x:c r="K53" s="82" t="str">
        <x:v>实际结论 / 缺口</x:v>
      </x:c>
      <x:c r="L53" s="82" t="str">
        <x:v>进入下一阶段的条件</x:v>
      </x:c>
      <x:c r="M53" s="82" t="str">
        <x:v>前置里程碑</x:v>
      </x:c>
      <x:c r="N53" s="82" t="str">
        <x:v>阶段产物</x:v>
      </x:c>
      <x:c r="O53" s="82"/>
      <x:c r="P53" s="82"/>
      <x:c r="Q53" s="82"/>
    </x:row>
    <x:row r="54" ht="240" customHeight="1">
      <x:c r="A54" s="84" t="str">
        <x:v>M5</x:v>
      </x:c>
      <x:c r="B54" s="83" t="str">
        <x:v>正式日用验收</x:v>
      </x:c>
      <x:c r="C54" s="83" t="str">
        <x:v>v1.5.1,v1.5.1-r1,v1.5.1-r2,v1.5.1-r3,v1.5.1-r4,v1.5.1-r5</x:v>
      </x:c>
      <x:c r="D54" s="83" t="str">
        <x:v>需整改</x:v>
      </x:c>
      <x:c r="E54" s="83" t="str">
        <x:v>1.2.0</x:v>
      </x:c>
      <x:c r="F54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；r5成员/团体花费原地筛选，统一成员显示/同人聚合，转团/关联解除与共同费用归属核对</x:v>
      </x:c>
      <x:c r="G54" s="83" t="str">
        <x:v>19–33</x:v>
      </x:c>
      <x:c r="H54" s="83" t="str">
        <x:v>67–114</x:v>
      </x:c>
      <x:c r="I54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；r5单一筛选及张数/排行/每日/饼图/花费/管理同源，关联及解除不改原行/金额，全空未知和窄屏大字证据</x:v>
      </x:c>
      <x:c r="J54" s="83" t="str">
        <x:v>需本轮设备范围；日用窗口开始前约定；不在真库造测试记录</x:v>
      </x:c>
      <x:c r="K54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；2026-10-25新增r5仅规划、未实施；15014安装/数据保持与435本地验证历史保持，新增交互不算通过</x:v>
      </x:c>
      <x:c r="L54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；下一唯一本地r5/3–5人日，代表身份和共同费用未决只限制相依分支；定时实际PAUSED不恢复；实施完成后另授权设备和用户日用验收</x:v>
      </x:c>
      <x:c r="M54" s="83" t="str">
        <x:v>M4</x:v>
      </x:c>
      <x:c r="N54" s="83" t="str">
        <x:v>已完成日用验收的1.2.0；稳定化不凭空升补丁号</x:v>
      </x:c>
      <x:c r="O54" s="83"/>
      <x:c r="P54" s="83"/>
      <x:c r="Q54" s="83"/>
    </x:row>
    <x:row r="55" ht="36" customHeight="1">
      <x:c r="A55" s="74" t="str">
        <x:v>流程 / 设计追溯 · 历史基线及已完成治理</x:v>
      </x:c>
      <x:c r="B55" s="74"/>
      <x:c r="C55" s="74"/>
      <x:c r="D55" s="74"/>
      <x:c r="E55" s="74"/>
      <x:c r="F55" s="74"/>
      <x:c r="G55" s="74"/>
      <x:c r="H55" s="74"/>
      <x:c r="I55" s="74" t="str">
        <x:v>非业务开发阶段；UI-FIX-001在M1前置区，避免重复记录</x:v>
      </x:c>
      <x:c r="J55" s="74"/>
      <x:c r="K55" s="74"/>
      <x:c r="L55" s="74"/>
      <x:c r="M55" s="74"/>
      <x:c r="N55" s="74"/>
      <x:c r="O55" s="74"/>
      <x:c r="P55" s="74"/>
      <x:c r="Q55" s="74"/>
    </x:row>
    <x:row r="56" ht="40" customHeight="1">
      <x:c r="A56" s="88" t="str">
        <x:v>工作包（历史ID）</x:v>
      </x:c>
      <x:c r="B56" s="88" t="str">
        <x:v>工作包名称</x:v>
      </x:c>
      <x:c r="C56" s="88" t="str">
        <x:v>用户收益</x:v>
      </x:c>
      <x:c r="D56" s="88" t="str">
        <x:v>状态</x:v>
      </x:c>
      <x:c r="E56" s="88" t="str">
        <x:v>优先级</x:v>
      </x:c>
      <x:c r="F56" s="88" t="str">
        <x:v>硬依赖工作包</x:v>
      </x:c>
      <x:c r="G56" s="88" t="str">
        <x:v>最少人日</x:v>
      </x:c>
      <x:c r="H56" s="88" t="str">
        <x:v>最多人日</x:v>
      </x:c>
      <x:c r="I56" s="88" t="str">
        <x:v>目标</x:v>
      </x:c>
      <x:c r="J56" s="88" t="str">
        <x:v>交付范围</x:v>
      </x:c>
      <x:c r="K56" s="88" t="str">
        <x:v>验收 / 已有证据</x:v>
      </x:c>
      <x:c r="L56" s="88" t="str">
        <x:v>门槛 / 未完成项</x:v>
      </x:c>
      <x:c r="M56" s="88" t="str">
        <x:v>影响范围</x:v>
      </x:c>
      <x:c r="N56" s="88" t="str">
        <x:v>候选code下界</x:v>
      </x:c>
      <x:c r="O56" s="88" t="str">
        <x:v>App目标版本</x:v>
      </x:c>
      <x:c r="P56" s="88" t="str">
        <x:v>所属里程碑</x:v>
      </x:c>
      <x:c r="Q56" s="88" t="str">
        <x:v>拆分 / 升版理由</x:v>
      </x:c>
    </x:row>
    <x:row r="57" ht="200" customHeight="1">
      <x:c r="A57" s="53" t="str">
        <x:v>BASE-UPSTREAM</x:v>
      </x:c>
      <x:c r="B57" s="53" t="str">
        <x:v>来源基线</x:v>
      </x:c>
      <x:c r="C57" s="53" t="str">
        <x:v>保留来源与旧数据语义</x:v>
      </x:c>
      <x:c r="D57" s="53" t="str">
        <x:v>历史基线</x:v>
      </x:c>
      <x:c r="E57" s="53" t="str">
        <x:v>P0</x:v>
      </x:c>
      <x:c r="F57" s="53"/>
      <x:c r="G57" s="59" t="n">
        <x:v>0</x:v>
      </x:c>
      <x:c r="H57" s="59" t="n">
        <x:v>0</x:v>
      </x:c>
      <x:c r="I57" s="53" t="str">
        <x:v>固定本地上游起点</x:v>
      </x:c>
      <x:c r="J57" s="53" t="str">
        <x:v>baseline/upstream；Apache-2.0；个人fork</x:v>
      </x:c>
      <x:c r="K57" s="53" t="str">
        <x:v>源码已克隆；旧App全库导出已完成</x:v>
      </x:c>
      <x:c r="L57" s="53" t="str">
        <x:v>源码与安装APK未证明精确对应</x:v>
      </x:c>
      <x:c r="M57" s="53" t="str">
        <x:v>全仓库</x:v>
      </x:c>
      <x:c r="N57" s="129"/>
      <x:c r="O57" s="130"/>
      <x:c r="P57" s="130"/>
      <x:c r="Q57" s="53"/>
    </x:row>
    <x:row r="58" ht="200" customHeight="1">
      <x:c r="A58" s="75" t="str">
        <x:v>WF-001</x:v>
      </x:c>
      <x:c r="B58" s="75" t="str">
        <x:v>流程建立</x:v>
      </x:c>
      <x:c r="C58" s="75" t="str">
        <x:v>可连续使用的个人开发流程</x:v>
      </x:c>
      <x:c r="D58" s="75" t="str">
        <x:v>已完成</x:v>
      </x:c>
      <x:c r="E58" s="75" t="str">
        <x:v>P0</x:v>
      </x:c>
      <x:c r="F58" s="75" t="str">
        <x:v>BASE-UPSTREAM</x:v>
      </x:c>
      <x:c r="G58" s="77" t="n">
        <x:v>0</x:v>
      </x:c>
      <x:c r="H58" s="77" t="n">
        <x:v>0</x:v>
      </x:c>
      <x:c r="I58" s="75" t="str">
        <x:v>参考SalaryFlow并按Flutter适配</x:v>
      </x:c>
      <x:c r="J58" s="75" t="str">
        <x:v>四表、AGENTS、指导md、检查脚本、独立分支</x:v>
      </x:c>
      <x:c r="K58" s="75" t="str">
        <x:v>文档/规划结构、负例/历史保护、脚本、只读库和视觉复核通过；未构建产品。</x:v>
      </x:c>
      <x:c r="L58" s="75" t="str">
        <x:v>不改业务/身份/签名/工具链，不连接设备</x:v>
      </x:c>
      <x:c r="M58" s="75" t="str">
        <x:v>文档/脚本/CI</x:v>
      </x:c>
      <x:c r="N58" s="131"/>
      <x:c r="O58" s="132"/>
      <x:c r="P58" s="132"/>
      <x:c r="Q58" s="75"/>
    </x:row>
    <x:row r="59" ht="200" customHeight="1">
      <x:c r="A59" s="53" t="str">
        <x:v>WF-002</x:v>
      </x:c>
      <x:c r="B59" s="53" t="str">
        <x:v>需求评估与规划</x:v>
      </x:c>
      <x:c r="C59" s="53" t="str">
        <x:v>可评审的Cheki/券管理路线</x:v>
      </x:c>
      <x:c r="D59" s="53" t="str">
        <x:v>已完成</x:v>
      </x:c>
      <x:c r="E59" s="53" t="str">
        <x:v>P0</x:v>
      </x:c>
      <x:c r="F59" s="53" t="str">
        <x:v>WF-001</x:v>
      </x:c>
      <x:c r="G59" s="59" t="n">
        <x:v>0</x:v>
      </x:c>
      <x:c r="H59" s="59" t="n">
        <x:v>0</x:v>
      </x:c>
      <x:c r="I59" s="53" t="str">
        <x:v>评估暂定V0.2并建立需求覆盖与版本路线</x:v>
      </x:c>
      <x:c r="J59" s="53" t="str">
        <x:v>需求原文、差距/初步设计、四表规划与历史保护</x:v>
      </x:c>
      <x:c r="K59" s="53" t="str">
        <x:v>42项覆盖、12开发版/依赖/估算、历史保护、19项流程回归及四表视觉复核通过；仅规划交付，未产品构建。</x:v>
      </x:c>
      <x:c r="L59" s="53" t="str">
        <x:v>本轮仅规划；实施前确认相依决定；不连接手机</x:v>
      </x:c>
      <x:c r="M59" s="53" t="str">
        <x:v>规划/文档/流程检查</x:v>
      </x:c>
      <x:c r="N59" s="129"/>
      <x:c r="O59" s="130"/>
      <x:c r="P59" s="130"/>
      <x:c r="Q59" s="53"/>
    </x:row>
    <x:row r="60" ht="200" customHeight="1">
      <x:c r="A60" s="75" t="str">
        <x:v>WF-003</x:v>
      </x:c>
      <x:c r="B60" s="75" t="str">
        <x:v>版本与阶段验收治理</x:v>
      </x:c>
      <x:c r="C60" s="75" t="str">
        <x:v>能理解升版并分阶段检查</x:v>
      </x:c>
      <x:c r="D60" s="75" t="str">
        <x:v>已完成</x:v>
      </x:c>
      <x:c r="E60" s="75" t="str">
        <x:v>P0</x:v>
      </x:c>
      <x:c r="F60" s="75" t="str">
        <x:v>WF-002</x:v>
      </x:c>
      <x:c r="G60" s="77" t="n">
        <x:v>0</x:v>
      </x:c>
      <x:c r="H60" s="77" t="n">
        <x:v>0</x:v>
      </x:c>
      <x:c r="I60" s="75" t="str">
        <x:v>区分工作包、App版本、里程碑和核心MVP</x:v>
      </x:c>
      <x:c r="J60" s="75" t="str">
        <x:v>升版触发/耦合理由；阶段检查表；MVP备份门槛；历史保留</x:v>
      </x:c>
      <x:c r="K60" s="75" t="str">
        <x:v>阶段覆盖/产品目标/依赖/估算/公式重算、历史保护、23项流程回归和四表视觉通过；只规划，业务/设备未实施。</x:v>
      </x:c>
      <x:c r="L60" s="75" t="str">
        <x:v>仅规划修订，不改业务/身份/工具链/数据/设备</x:v>
      </x:c>
      <x:c r="M60" s="75" t="str">
        <x:v>规划/指导/流程校验</x:v>
      </x:c>
      <x:c r="N60" s="131"/>
      <x:c r="O60" s="132"/>
      <x:c r="P60" s="132"/>
      <x:c r="Q60" s="75"/>
    </x:row>
    <x:row r="61" ht="200" customHeight="1">
      <x:c r="A61" s="53" t="str">
        <x:v>WF-004</x:v>
      </x:c>
      <x:c r="B61" s="53" t="str">
        <x:v>双备份与提交追溯</x:v>
      </x:c>
      <x:c r="C61" s="53" t="str">
        <x:v>数据两处可核验、每提交远端留档</x:v>
      </x:c>
      <x:c r="D61" s="53" t="str">
        <x:v>已完成</x:v>
      </x:c>
      <x:c r="E61" s="53" t="str">
        <x:v>P0</x:v>
      </x:c>
      <x:c r="F61" s="53" t="str">
        <x:v>WF-003</x:v>
      </x:c>
      <x:c r="G61" s="59" t="n">
        <x:v>0</x:v>
      </x:c>
      <x:c r="H61" s="59" t="n">
        <x:v>0</x:v>
      </x:c>
      <x:c r="I61" s="53" t="str">
        <x:v>核验E/NAS备份并固定每提交推送</x:v>
      </x:c>
      <x:c r="J61" s="53" t="str">
        <x:v>既有快照核验/复制NAS；提交与推送hooks；指导/四表；建立首个规划Git基线</x:v>
      </x:c>
      <x:c r="K61" s="53" t="str">
        <x:v>E/NAS12文件与两库核验；23流程+5提交追溯检查；首个规划提交已上传且远端一致；四表视觉/历史通过。</x:v>
      </x:c>
      <x:c r="L61" s="53" t="str">
        <x:v>不改App/身份/真实数据；用户确认未改后不重做手机备份；不发Release/tag/APK</x:v>
      </x:c>
      <x:c r="M61" s="53" t="str">
        <x:v>文档/脚本/hooks/规划</x:v>
      </x:c>
      <x:c r="N61" s="129"/>
      <x:c r="O61" s="130"/>
      <x:c r="P61" s="130"/>
      <x:c r="Q61" s="53"/>
    </x:row>
    <x:row r="62" ht="200" customHeight="1">
      <x:c r="A62" s="75" t="str">
        <x:v>WF-005</x:v>
      </x:c>
      <x:c r="B62" s="75" t="str">
        <x:v>仓库首页说明重写</x:v>
      </x:c>
      <x:c r="C62" s="75" t="str">
        <x:v>浏览者能理解定位与真实进度</x:v>
      </x:c>
      <x:c r="D62" s="75" t="str">
        <x:v>已完成</x:v>
      </x:c>
      <x:c r="E62" s="75" t="str">
        <x:v>P0</x:v>
      </x:c>
      <x:c r="F62" s="75" t="str">
        <x:v>WF-004</x:v>
      </x:c>
      <x:c r="G62" s="77" t="n">
        <x:v>0</x:v>
      </x:c>
      <x:c r="H62" s="77" t="n">
        <x:v>0</x:v>
      </x:c>
      <x:c r="I62" s="75" t="str">
        <x:v>重写README并核对GitHub首页入口</x:v>
      </x:c>
      <x:c r="J62" s="75" t="str">
        <x:v>项目定位、现状/MVP摘要、开发入口与上游许可；默认分支显示方案待选择</x:v>
      </x:c>
      <x:c r="K62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2" s="75" t="str">
        <x:v>只改文档与规划；不改App/数据/身份/发布制品；不强推历史</x:v>
      </x:c>
      <x:c r="M62" s="75" t="str">
        <x:v>README/开发约定/规划/仓库首页</x:v>
      </x:c>
      <x:c r="N62" s="131"/>
      <x:c r="O62" s="132"/>
      <x:c r="P62" s="132"/>
      <x:c r="Q62" s="75"/>
    </x:row>
    <x:row r="63" ht="200" customHeight="1">
      <x:c r="A63" s="53" t="str">
        <x:v>WF-006</x:v>
      </x:c>
      <x:c r="B63" s="53" t="str">
        <x:v>UI风格与页面方案</x:v>
      </x:c>
      <x:c r="C63" s="53" t="str">
        <x:v>明确极简浅蓝浅粉界面及操作层级</x:v>
      </x:c>
      <x:c r="D63" s="53" t="str">
        <x:v>已完成</x:v>
      </x:c>
      <x:c r="E63" s="53" t="str">
        <x:v>P0</x:v>
      </x:c>
      <x:c r="F63" s="53" t="str">
        <x:v>WF-005</x:v>
      </x:c>
      <x:c r="G63" s="59" t="n">
        <x:v>0</x:v>
      </x:c>
      <x:c r="H63" s="59" t="n">
        <x:v>0</x:v>
      </x:c>
      <x:c r="I63" s="53" t="str">
        <x:v>参考SalaryFlow明确Cheki与券管理UI</x:v>
      </x:c>
      <x:c r="J63" s="53" t="str">
        <x:v>UI规范、可点击四页及登记/管理原型；浅蓝浅粉拼色；开发入口与四表同步</x:v>
      </x:c>
      <x:c r="K63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3" s="53" t="str">
        <x:v>只交设计与演示；不改Flutter业务/身份/工具链/真库/设备；布局提案待用户复核</x:v>
      </x:c>
      <x:c r="M63" s="53" t="str">
        <x:v>UI文档/原型/开发约定/规划</x:v>
      </x:c>
      <x:c r="N63" s="129"/>
      <x:c r="O63" s="130"/>
      <x:c r="P63" s="130"/>
      <x:c r="Q63" s="53" t="str">
        <x:v>仅明确视觉与交互，产品能力未实施，不触发App升版</x:v>
      </x:c>
    </x:row>
    <x:row r="64" ht="200" customHeight="1">
      <x:c r="A64" s="75" t="str">
        <x:v>WF-007</x:v>
      </x:c>
      <x:c r="B64" s="75" t="str">
        <x:v>统计下钻与待处理整合</x:v>
      </x:c>
      <x:c r="C64" s="75" t="str">
        <x:v>成员平铺带团体标识，直接查每天张数与成员色</x:v>
      </x:c>
      <x:c r="D64" s="75" t="str">
        <x:v>已完成</x:v>
      </x:c>
      <x:c r="E64" s="75" t="str">
        <x:v>P0</x:v>
      </x:c>
      <x:c r="F64" s="75" t="str">
        <x:v>WF-006</x:v>
      </x:c>
      <x:c r="G64" s="77" t="n">
        <x:v>0</x:v>
      </x:c>
      <x:c r="H64" s="77" t="n">
        <x:v>0</x:v>
      </x:c>
      <x:c r="I64" s="75" t="str">
        <x:v>按用户反馈改统计结构与待处理入口</x:v>
      </x:c>
      <x:c r="J64" s="75" t="str">
        <x:v>成员平铺列表，团体只作姓名前缀/标签；点成员→每日→当天记录；取消重复口径切换；颜色设置联动；统一待处理按实物去重；规范/原型同步</x:v>
      </x:c>
      <x:c r="K64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4" s="75" t="str">
        <x:v>只改设计演示；保留独立完成/领取状态及原始需求；不改Flutter/真库/设备/身份/工具链</x:v>
      </x:c>
      <x:c r="M64" s="75" t="str">
        <x:v>UI规范/原型/设计图/规划</x:v>
      </x:c>
      <x:c r="N64" s="131"/>
      <x:c r="O64" s="132"/>
      <x:c r="P64" s="132"/>
      <x:c r="Q64" s="75" t="str">
        <x:v>用户评审修正独立设计包，无产品发布/版本升级</x:v>
      </x:c>
    </x:row>
    <x:row r="65" ht="200" customHeight="1">
      <x:c r="A65" s="53" t="str">
        <x:v>WF-008</x:v>
      </x:c>
      <x:c r="B65" s="53" t="str">
        <x:v>时间范围、领取与记录编辑</x:v>
      </x:c>
      <x:c r="C65" s="53" t="str">
        <x:v>按事件统计，登记两页且可修改</x:v>
      </x:c>
      <x:c r="D65" s="53" t="str">
        <x:v>已完成</x:v>
      </x:c>
      <x:c r="E65" s="53" t="str">
        <x:v>P0</x:v>
      </x:c>
      <x:c r="F65" s="53" t="str">
        <x:v>WF-007</x:v>
      </x:c>
      <x:c r="G65" s="59" t="n">
        <x:v>0</x:v>
      </x:c>
      <x:c r="H65" s="59" t="n">
        <x:v>0</x:v>
      </x:c>
      <x:c r="I65" s="53" t="str">
        <x:v>按用户新规则修正交互和数据契约</x:v>
      </x:c>
      <x:c r="J65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5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5" s="53" t="str">
        <x:v>仅设计与合成演示；不改Flutter/真实数据/身份/工具链/设备/发布；旧完成事实留历史档案</x:v>
      </x:c>
      <x:c r="M65" s="53" t="str">
        <x:v>原型/交互/领域契约/需求覆盖/规划</x:v>
      </x:c>
      <x:c r="N65" s="129"/>
      <x:c r="O65" s="130"/>
      <x:c r="P65" s="130"/>
      <x:c r="Q65" s="53" t="str">
        <x:v>用户修改尚未实施的需求，设计包不触发App升版；基础与持久化另验</x:v>
      </x:c>
    </x:row>
    <x:row r="66" ht="240" customHeight="1">
      <x:c r="A66" s="75" t="str">
        <x:v>WF-009</x:v>
      </x:c>
      <x:c r="B66" s="75" t="str">
        <x:v>日期与快捷登记修订</x:v>
      </x:c>
      <x:c r="C66" s="75" t="str">
        <x:v>简洁词语和可扩展成员选择</x:v>
      </x:c>
      <x:c r="D66" s="75" t="str">
        <x:v>已完成</x:v>
      </x:c>
      <x:c r="E66" s="75" t="str">
        <x:v>P0</x:v>
      </x:c>
      <x:c r="F66" s="75" t="str">
        <x:v>WF-008</x:v>
      </x:c>
      <x:c r="G66" s="77" t="n">
        <x:v>0</x:v>
      </x:c>
      <x:c r="H66" s="77" t="n">
        <x:v>0</x:v>
      </x:c>
      <x:c r="I66" s="75" t="str">
        <x:v>按用户反馈修正日期粒度、成员与默认值</x:v>
      </x:c>
      <x:c r="J66" s="75" t="str">
        <x:v>去重复口径提示/实物术语；发生日期到天，录入动作留时间戳；下拉成员；带签/无签显式；领取三选默认已领；默认扣券；当前契约与规划同步</x:v>
      </x:c>
      <x:c r="K66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6" s="75" t="str">
        <x:v>仅合成原型，不改Flutter/真库/身份/工具链/手机/发布；保留旧事实；初始已领采用允许的不设实际时间方案，偏好待复核</x:v>
      </x:c>
      <x:c r="M66" s="75" t="str">
        <x:v>UI原型/领域契约/需求/规划</x:v>
      </x:c>
      <x:c r="N66" s="131"/>
      <x:c r="O66" s="132"/>
      <x:c r="P66" s="132"/>
      <x:c r="Q66" s="75" t="str">
        <x:v>未发布设计修订，不触发App版本或里程碑通过</x:v>
      </x:c>
    </x:row>
    <x:row r="67" ht="240" customHeight="1">
      <x:c r="A67" s="53" t="str">
        <x:v>WF-010</x:v>
      </x:c>
      <x:c r="B67" s="53" t="str">
        <x:v>属性互斥与扣券明细</x:v>
      </x:c>
      <x:c r="C67" s="53" t="str">
        <x:v>明确勾选及背签条件，扣券直接可见</x:v>
      </x:c>
      <x:c r="D67" s="53" t="str">
        <x:v>已完成</x:v>
      </x:c>
      <x:c r="E67" s="53" t="str">
        <x:v>P0</x:v>
      </x:c>
      <x:c r="F67" s="53" t="str">
        <x:v>WF-009</x:v>
      </x:c>
      <x:c r="G67" s="59" t="n">
        <x:v>0</x:v>
      </x:c>
      <x:c r="H67" s="59" t="n">
        <x:v>0</x:v>
      </x:c>
      <x:c r="I67" s="53" t="str">
        <x:v>按用户反馈修正属性规则和明细可见性</x:v>
      </x:c>
      <x:c r="J67" s="53" t="str">
        <x:v>无签/有签/宿题勾选式三选一，默认有签；背签仅有签可用，切换清除；扣券明细常开无折叠；规范与相依范围同步</x:v>
      </x:c>
      <x:c r="K67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7" s="53" t="str">
        <x:v>只改合成原型/规则/规划；不改Flutter/真库/手机/身份/工具链/发布；旧冲突属性不静默转换</x:v>
      </x:c>
      <x:c r="M67" s="53" t="str">
        <x:v>原型/UI/实体/记录/统计/规划</x:v>
      </x:c>
      <x:c r="N67" s="129"/>
      <x:c r="O67" s="130"/>
      <x:c r="P67" s="130"/>
      <x:c r="Q67" s="53" t="str">
        <x:v>未发布设计修订，不触发App升版或阶段通过</x:v>
      </x:c>
    </x:row>
    <x:row r="68" ht="230" customHeight="1">
      <x:c r="A68" s="75" t="str">
        <x:v>WF-011</x:v>
      </x:c>
      <x:c r="B68" s="75" t="str">
        <x:v>属性同行与UI实施定位</x:v>
      </x:c>
      <x:c r="C68" s="75" t="str">
        <x:v>知道每个页面何时落地和如何检查</x:v>
      </x:c>
      <x:c r="D68" s="75" t="str">
        <x:v>已完成</x:v>
      </x:c>
      <x:c r="E68" s="75" t="str">
        <x:v>P0</x:v>
      </x:c>
      <x:c r="F68" s="75" t="str">
        <x:v>WF-010</x:v>
      </x:c>
      <x:c r="G68" s="77" t="n">
        <x:v>0</x:v>
      </x:c>
      <x:c r="H68" s="77" t="n">
        <x:v>0</x:v>
      </x:c>
      <x:c r="I68" s="75" t="str">
        <x:v>把当前UI纳入真实开发范围和阶段门槛</x:v>
      </x:c>
      <x:c r="J68" s="75" t="str">
        <x:v>四属性同行，原互斥/依赖保留；UI-20261011-R1开发基线；主题/各页/管理/编辑映射现有相依包；阶段产物/验收/风险同步</x:v>
      </x:c>
      <x:c r="K68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8" s="75" t="str">
        <x:v>只改原型/规范/规划；不改Flutter/数据/手机/身份/工具链/发布；不标业务或阶段完成</x:v>
      </x:c>
      <x:c r="M68" s="75" t="str">
        <x:v>UI/开发范围/阶段检查/四表</x:v>
      </x:c>
      <x:c r="N68" s="131"/>
      <x:c r="O68" s="132"/>
      <x:c r="P68" s="132"/>
      <x:c r="Q68" s="75" t="str">
        <x:v>规划澄清与原型小修，不新增产品版或主线工作包</x:v>
      </x:c>
    </x:row>
    <x:row r="69" ht="280" customHeight="1">
      <x:c r="A69" s="53" t="str">
        <x:v>WF-013</x:v>
      </x:c>
      <x:c r="B69" s="53" t="str">
        <x:v>阶段工作包与检查点同段</x:v>
      </x:c>
      <x:c r="C69" s="53" t="str">
        <x:v>清楚看到任务阶段归属及M1前数量</x:v>
      </x:c>
      <x:c r="D69" s="53" t="str">
        <x:v>已完成</x:v>
      </x:c>
      <x:c r="E69" s="53" t="str">
        <x:v>P0</x:v>
      </x:c>
      <x:c r="F69" s="53" t="str">
        <x:v>WF-012</x:v>
      </x:c>
      <x:c r="G69" s="59" t="n">
        <x:v>0</x:v>
      </x:c>
      <x:c r="H69" s="59" t="n">
        <x:v>0</x:v>
      </x:c>
      <x:c r="I69" s="53" t="str">
        <x:v>按阶段连续排列工作包与M检查点</x:v>
      </x:c>
      <x:c r="J69" s="53" t="str">
        <x:v>重排版本规划；M0–M5检查点紧随对应包；UI-FIX-001放M1前；读表指导与行号依赖检查适配</x:v>
      </x:c>
      <x:c r="K69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9" s="53" t="str">
        <x:v>不改变业务范围/依赖/估算/产品目标/阶段状态，不操作App或设备</x:v>
      </x:c>
      <x:c r="M69" s="53" t="str">
        <x:v>规划展示/开发指导/流程校验</x:v>
      </x:c>
      <x:c r="N69" s="129"/>
      <x:c r="O69" s="130"/>
      <x:c r="P69" s="130"/>
      <x:c r="Q69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5:H55"/>
    <x:mergeCell ref="I55:Q55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1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68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4">
      <x:formula1>"待开始,本地通过/待实机,待用户复核,已验收,需整改"</x:formula1>
    </x:dataValidation>
    <x:dataValidation type="list" sqref="D69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  <x:row r="61" ht="350" customHeight="1">
      <x:c r="A61" s="10" t="str">
        <x:v>ROUND-20261021-BI-DATE-PLAN-01</x:v>
      </x:c>
      <x:c r="B61" s="72" t="n">
        <x:v>46316</x:v>
      </x:c>
      <x:c r="C61" s="10" t="str">
        <x:v>v1.5.1-r4</x:v>
      </x:c>
      <x:c r="D61" s="10" t="str">
        <x:v>统计今日/日历/月年导航，仅规划</x:v>
      </x:c>
      <x:c r="E61" s="10" t="str">
        <x:v>用户反馈统计时间加今日、日期输入换日历点选、加入月年切换按钮；按DEC066仅记录分析排期</x:v>
      </x:c>
      <x:c r="F61" s="10" t="str">
        <x:v>合入未开发r4，保留停用来源完整范围；复用BiPeriod/现有步进，替换共用日期弹窗并新增今日；同包2–4人日，20主线总64–109/待开发1包</x:v>
      </x:c>
      <x:c r="G61" s="10" t="str">
        <x:v>不改Dart/业务配置/原型、不产品测试或构建、不设备/NAS/真实数据写入，不恢复PAUSED定时，不改变周界/发生日/原筛选/成本/CSV位置</x:v>
      </x:c>
      <x:c r="H61" s="10" t="str">
        <x:v>统计时间问题记录、现有日期弹窗/期间步进及共享消费者源码分析、需求规格和r4合并排期完成；四表历史/范围归档、依赖/估算重算、无关原值和公式/验证/合并/视图保护、受影响视图检查通过。无产品实现或新测试/构建/设备操作。</x:v>
      </x:c>
      <x:c r="I61" s="10" t="str">
        <x:v>已完成</x:v>
      </x:c>
      <x:c r="J61" s="10" t="str">
        <x:v>今日为日范围快捷操作保留其他筛选，日历确认生效/取消不变；日历切月选年及月/年期间具体按钮，布局可逆待检查；15013已装但不含r4</x:v>
      </x:c>
      <x:c r="K61" s="10" t="str">
        <x:v>需求文档及四表通过commit-and-push本地提交立即上传origin/personal/customization并核对一致；定时实际PAUSED保持。</x:v>
      </x:c>
      <x:c r="L61" s="10" t="str">
        <x:v>下一唯一仍r4/产品1.2.0拟rc.10/code&gt;=15014，仅计划，直接开发或明确恢复后实施；设备及阶段另授权</x:v>
      </x:c>
    </x:row>
    <x:row r="62" ht="360" customHeight="1">
      <x:c r="A62" s="10" t="str">
        <x:v>ROUND-20261021-V151-R4-01</x:v>
      </x:c>
      <x:c r="B62" s="72" t="n">
        <x:v>46316</x:v>
      </x:c>
      <x:c r="C62" s="10" t="str">
        <x:v>v1.5.1-r4</x:v>
      </x:c>
      <x:c r="D62" s="10" t="str">
        <x:v>停用来源和统计日期整包开发</x:v>
      </x:c>
      <x:c r="E62" s="10" t="str">
        <x:v>用户明确完成这个包；此前规划和15013设备交付已闭合上传，不重复旧包</x:v>
      </x:c>
      <x:c r="F62" s="10" t="str">
        <x:v>完整停用来源四组合/共享管理选择提示，今日/日历/月年导航和共用消费者，适用回归/静态/恢复/生产审计、固定身份正式1.2.0-rc.10/15014；原2–4人日范围不缩减</x:v>
      </x:c>
      <x:c r="G62" s="10" t="str">
        <x:v>不ADB/手机/NAS/安装/真实写入或删历史，不改选择规则/数据库schema/原日期成本，不恢复PAUSED，不开始第二包</x:v>
      </x:c>
      <x:c r="H62" s="10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62" s="10" t="str">
        <x:v>本地完成/待实机</x:v>
      </x:c>
      <x:c r="J62" s="10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K62" s="10" t="str">
        <x:v>完整代码/自动验证/正式签名与四表通过检查后，本地提交立即上传origin个人分支并核对一致；实际上传收据交付核验。</x:v>
      </x:c>
      <x:c r="L62" s="10" t="str">
        <x:v>本轮仅此r4，保持PAUSED；设备/安装/M5日用另授权，最后按最新四表判断下一包</x:v>
      </x:c>
    </x:row>
    <x:row r="63" ht="350" customHeight="1">
      <x:c r="A63" s="135" t="str">
        <x:v>ROUND-20261021-S25-UPGRADE-15014-01</x:v>
      </x:c>
      <x:c r="B63" s="135" t="n">
        <x:v>46316</x:v>
      </x:c>
      <x:c r="C63" s="135" t="str">
        <x:v>v1.5.1-r4</x:v>
      </x:c>
      <x:c r="D63" s="135" t="str">
        <x:v>S25覆盖安装15014</x:v>
      </x:c>
      <x:c r="E63" s="135" t="str">
        <x:v>用户直接覆盖安装；开发轮已完整闭合并上传</x:v>
      </x:c>
      <x:c r="F63" s="135" t="str">
        <x:v>续完同一设备轮：重配唯一S25、实际全备份E/NAS核验、固定身份签名install-r、两次冷启动和前后全库/设置/附件对账、仅本轮临时文件清理，手机留首页</x:v>
      </x:c>
      <x:c r="G63" s="135" t="str">
        <x:v>不清数据/卸载/降级，不测试真实编辑或恢复，不改方向息屏，不恢复定时</x:v>
      </x:c>
      <x:c r="H63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I63" s="135" t="str">
        <x:v>已完成</x:v>
      </x:c>
      <x:c r="J63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  <x:c r="K63" s="135" t="str">
        <x:v>设备交付文档/四表通过历史及无关原值/原生结构检查后，用commit-and-push提交立即上传origin个人分支并核对一致；此前配对失败保留执行约定历史。</x:v>
      </x:c>
      <x:c r="L63" s="135" t="str">
        <x:v>本轮15014已安装，用户功能与M5仍待；无新待安装APK/无下一批准本地包，PAUSED保持，不延续设备或NAS授权。</x:v>
      </x:c>
    </x:row>
    <x:row r="64" ht="350" customHeight="1">
      <x:c r="A64" s="135" t="str">
        <x:v>ROUND-20261025-BI-MEMBER-PLAN-01</x:v>
      </x:c>
      <x:c r="B64" s="136" t="n">
        <x:v>46320</x:v>
      </x:c>
      <x:c r="C64" s="135" t="str">
        <x:v>v1.5.1-r5</x:v>
      </x:c>
      <x:c r="D64" s="135" t="str">
        <x:v>统计成员花费统一及Now Brief研究仅规划</x:v>
      </x:c>
      <x:c r="E64" s="135" t="str">
        <x:v>用户需求按问题记录→评估→MasterSheet；请求建议，不授权当前开发</x:v>
      </x:c>
      <x:c r="F64" s="135" t="str">
        <x:v>源码评估/需求和同人展示建议，下一唯一r5依赖r4；花费原地/单一成员/同人合计及全部消费者3–5人日，Now Brief官方能力核查不列接入实施</x:v>
      </x:c>
      <x:c r="G64" s="135" t="str">
        <x:v>不改Dart/业务配置/原型、不构建、不ADB/手机/NAS/真写或改历史；不恢复PAUSED，不将建议当已批准</x:v>
      </x:c>
      <x:c r="H64" s="135" t="str">
        <x:v>问题记录、源码评估、公开官网研究、建议及下一r5规划完成；唯一四表依赖/估算/历史、原生结构/无关原值及规划视图检查通过，无业务改动/构建/设备工作。</x:v>
      </x:c>
      <x:c r="I64" s="135" t="str">
        <x:v>已完成</x:v>
      </x:c>
      <x:c r="J64" s="135" t="str">
        <x:v>代表身份/颜色与共同费用边界待用户检查；Now Brief用户卡片不等于公开任意第三方SDK；15014已装功能/M5待验</x:v>
      </x:c>
      <x:c r="K64" s="135" t="str">
        <x:v>需求及四表通过检查后commit-and-push本地提交立即上传origin个人分支并核对；仅规划不算实现。</x:v>
      </x:c>
      <x:c r="L64" s="135" t="str">
        <x:v>下一唯一本地r5/产品1.2.0，拟rc.11/15015无APK；直接开发或明确恢复后实施，设备另授权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本地与签名完成/用户实机待验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本地验证收敛/用户实机待检查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3" s="135" t="str">
        <x:v>定时PAUSED保持；不得把普通反馈或既有覆盖安装授权扩大为开发/数据修改授权</x:v>
      </x:c>
    </x:row>
    <x:row r="124" ht="350" customHeight="1">
      <x:c r="A124" s="135" t="str">
        <x:v>DEC-079</x:v>
      </x:c>
      <x:c r="B124" s="135" t="str">
        <x:v>统计今日和日历月年切换</x:v>
      </x:c>
      <x:c r="C124" s="135" t="str">
        <x:v>2026-10-21用户要求统计时间额外今日、日期输入改日历点击、加入切换月/年的按钮</x:v>
      </x:c>
      <x:c r="D124" s="135" t="str">
        <x:v>v151-r4/M5/BiPage共用日期与成员日视图</x:v>
      </x:c>
      <x:c r="E124" s="135" t="str">
        <x:v>今日快捷设上海当天日范围保留其他筛选；日历选日确认才更新/取消保持，保留原日周月年所有；日历切月选年，统计月范围上月下月/年范围上一年下一年，复用BiPeriod；管理共用同步且成员日视图限制期间</x:v>
      </x:c>
      <x:c r="F124" s="135" t="str">
        <x:v>本地与签名完成/用户实机待验</x:v>
      </x:c>
      <x:c r="G124" s="135" t="str">
        <x:v>并入尚未开发r4，原停用来源全保留；不新增持久化或改周界/原日期/成本/CSV位置</x:v>
      </x:c>
      <x:c r="H124" s="135" t="str">
        <x:v>BiPage已有五范围和上一下一期间，_BiDateDialog仍YYYY-MM-DD TextField；_chooseDate被成员日视图复用，BiPeriod已有month/year move；仅源码评估非实机通过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I124" s="135" t="str">
        <x:v>今日是日范围快捷操作，布局实施后可逆复核；2–4人日，拟rc.10/15014仍无APK，PAUSED不恢复</x:v>
      </x:c>
    </x:row>
    <x:row r="125" ht="350" customHeight="1">
      <x:c r="A125" s="135" t="str">
        <x:v>RISK-039</x:v>
      </x:c>
      <x:c r="B125" s="135" t="str">
        <x:v>快捷日期与日历期间状态偏移</x:v>
      </x:c>
      <x:c r="C125" s="135" t="str">
        <x:v>今日若误清筛选/按设备不同时区，日历翻页提前提交或越过成员当前期间，会展示错统计范围</x:v>
      </x:c>
      <x:c r="D125" s="135" t="str">
        <x:v>r4统计日期/管理报表/下钻及M5</x:v>
      </x:c>
      <x:c r="E125" s="135" t="str">
        <x:v>复用业务时钟与BiPeriod，提交/取消分离，今日保留其他筛选；跨月跨年/闰日/31日短月/极限日期、成员范围和管理共用一致，portrait200%具体按钮语义检查</x:v>
      </x:c>
      <x:c r="F125" s="135" t="str">
        <x:v>本地验证收敛/用户实机待检查</x:v>
      </x:c>
      <x:c r="G125" s="135" t="str">
        <x:v>本轮仅规划，后续整包自动验证/正式签名与实机分层，不以新增控件改历史</x:v>
      </x:c>
      <x:c r="H125" s="135" t="str">
        <x:v>r4从1–2扩为2–4人日，M5本段16–28/累计64–109；没有新包/新APK/产品测试或设备动作，15013已装事实保留；2026-10-21用户明确完成整包，本轮ROUND-20261021-V151-R4-01先基础后消费者，完整范围不缩减；基于15013用户尚未完整实机验收继续，Android累计风险保留，无设备/NAS授权，不恢复定时。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  <x:c r="I125" s="135" t="str">
        <x:v>未决布局不阻后续安全本地分支；仍须直接开发或明确恢复，不把本反馈扩大为设备/业务修改授权</x:v>
      </x:c>
    </x:row>
    <x:row r="126" ht="300" customHeight="1">
      <x:c r="A126" s="135" t="str">
        <x:v>DEC-080</x:v>
      </x:c>
      <x:c r="B126" s="135" t="str">
        <x:v>花费改原地筛选</x:v>
      </x:c>
      <x:c r="C126" s="135" t="str">
        <x:v>用户要求成员/团体花费不跳页，界面类似当前成员筛选</x:v>
      </x:c>
      <x:c r="D126" s="135" t="str">
        <x:v>v151-r5/M5/统计与管理共用消费者</x:v>
      </x:c>
      <x:c r="E126" s="135" t="str">
        <x:v>统计页内下拉选择成员/团体并更新花费，不再跳独立花费页；共用期间和选择，交集明确；购券/交换不重复算消费、赠送沿原成本，原明细按需查看保持</x:v>
      </x:c>
      <x:c r="F126" s="135" t="str">
        <x:v>用户明确/仅规划待实现</x:v>
      </x:c>
      <x:c r="G126" s="135" t="str">
        <x:v>先统一归属与共享状态，再UI；不复制成本算法或挪回CSV</x:v>
      </x:c>
      <x:c r="H126" s="135" t="str">
        <x:v>bi_page.expenseLinks现Navigator推SpendingPage；本轮只读，完整规格BI_MEMBER_SPENDING_FIX_20261025.md</x:v>
      </x:c>
      <x:c r="I126" s="135" t="str">
        <x:v>未实施/无APK；旧数据金额/库存及管理折叠CSV保持，PAUSED不恢复</x:v>
      </x:c>
    </x:row>
    <x:row r="127" ht="300" customHeight="1">
      <x:c r="A127" s="135" t="str">
        <x:v>DEC-081</x:v>
      </x:c>
      <x:c r="B127" s="135" t="str">
        <x:v>显示成员与同人合计统一</x:v>
      </x:c>
      <x:c r="C127" s="135" t="str">
        <x:v>用户只保留成员和同人关联的一套入口，显示成员、按手动关联Person合计；请求未来关联设计建议</x:v>
      </x:c>
      <x:c r="D127" s="135" t="str">
        <x:v>v151-r5/成员筛选、排行/每日/饼图与花费</x:v>
      </x:c>
      <x:c r="E127" s="135" t="str">
        <x:v>已手动关联按Person聚合、未关联按成员；筛选展开全部已关联身份后与期间/团体相交，不按同名自动关联。代表成员名/颜色与展开各身份贡献为建议；共同费用边界未决保持原归属</x:v>
      </x:c>
      <x:c r="F127" s="135" t="str">
        <x:v>核心口径明确/展示与共同费用建议待用户检查</x:v>
      </x:c>
      <x:c r="G127" s="135" t="str">
        <x:v>不改身份行/团体历史快照/成本；未决只限制相依分支，其他原地UI和未关联场景可独立实现</x:v>
      </x:c>
      <x:c r="H127" s="135" t="str">
        <x:v>bi_query已有Person聚合但直接显示Person名称/首遍历颜色；SpendingReport按member归属，需同包同步；用户称目前无同人关联，本轮未设备核实</x:v>
      </x:c>
      <x:c r="I127" s="135" t="str">
        <x:v>示例A团小夏3张240+B团夏2张160→成员5张400，A团筛选仍3张240；关联解除可逆，不把全部费用挪最新团体</x:v>
      </x:c>
    </x:row>
    <x:row r="128" ht="300" customHeight="1">
      <x:c r="A128" s="135" t="str">
        <x:v>RISK-040</x:v>
      </x:c>
      <x:c r="B128" s="135" t="str">
        <x:v>成员合并后口径和颜色归属不一致</x:v>
      </x:c>
      <x:c r="C128" s="135" t="str">
        <x:v>只隐藏切换而未扩展成员筛选或花费会漏算；转团显示最新标签可能误挪历史团体；多人共同费用可能重复</x:v>
      </x:c>
      <x:c r="D128" s="135" t="str">
        <x:v>v151-r5全消费者/M5</x:v>
      </x:c>
      <x:c r="E128" s="135" t="str">
        <x:v>同一身份解析和唯一费用行去重，团体沿原快照，原金额精度/未知保留；合成无关联/关联解除/同名/多人/NULL/0和完整恢复；代表色与全同人共同费用待检查</x:v>
      </x:c>
      <x:c r="F128" s="135" t="str">
        <x:v>开放/待实施与用户检查</x:v>
      </x:c>
      <x:c r="G128" s="135" t="str">
        <x:v>实施前从只读查询到消费者，不能改写真实历史；3–5人日覆盖验证，原地布局可逆</x:v>
      </x:c>
      <x:c r="H128" s="135" t="str">
        <x:v>拟rc.11/15015仅计划，21主线累计67–114，15014已装功能未验；无设备操作</x:v>
      </x:c>
      <x:c r="I128" s="135" t="str">
        <x:v>Android/TalkBack/真实恢复/用户日用未验，定时PAUSED保持；未确认不新增持久化代表字段或自动均摊</x:v>
      </x:c>
    </x:row>
    <x:row r="129" ht="300" customHeight="1">
      <x:c r="A129" s="135" t="str">
        <x:v>DEC-082</x:v>
      </x:c>
      <x:c r="B129" s="135" t="str">
        <x:v>One UI 9 Now Brief公开接入研究</x:v>
      </x:c>
      <x:c r="C129" s="135" t="str">
        <x:v>用户要求先查Now Brief是否开放权限</x:v>
      </x:c>
      <x:c r="D129" s="135" t="str">
        <x:v>官网资料研究/不构成本fix硬依赖</x:v>
      </x:c>
      <x:c r="E129" s="135" t="str">
        <x:v>One UI9用户可建主题卡片；截至2026-10-25公开Samsung Developer及官方资料未找到任意第三方App数据卡片SDK/permission/授权流程，不据此断言绝无合作接口；Now Bar不等同Now Brief</x:v>
      </x:c>
      <x:c r="F129" s="135" t="str">
        <x:v>已研究/公开接入未确认，不排实施</x:v>
      </x:c>
      <x:c r="G129" s="135" t="str">
        <x:v>若后续官方明确开放再独立验证，不阻r5；不申请额外权限或伪造日历事件</x:v>
      </x:c>
      <x:c r="H129" s="135" t="str">
        <x:v>三星One UI9说明、2026-10-15巴西Newsroom及Samsung Developer目录，链接在需求文档；无设备固件/隐藏权限实测</x:v>
      </x:c>
      <x:c r="I129" s="135" t="str">
        <x:v>用户个性化授权不证明私有SQLite可读；未批准开发/上传数据给三星，保留研究证据而非接入承诺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2026-10-25新增下一唯一r5/产品1.2.0/M5，依赖15014本地已满足；只规划3–5人日/21主线累计67–114，无新APK。代表身份/颜色及共同费用建议待检查，Now Brief研究不列硬依赖；定时实际PAUSED不自行恢复，直接开发或明确恢复后实施。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S25已15012→15013，同固定证书/原位覆盖/冷启动和前后全库设置附件保持、双盘备份核验；当前无新待安装APK，15010未逐装不追认或降级；r4仅计划暂无15014，四项用户功能与M5仍待。；2026-10-21 v151-r4/M5正式1.2.0-rc.10/15014，E:\OneDrive\Code\count_tools\local-artifacts\android\cheki-1.2.0-rc.10-15014.apk；本地/自动/生产/固定身份签名完成，未安装。最近核实S25为2026-10-20的15013，唯一新待集中无线候选15014；原位覆盖/全数据保持/冷启/完整交互/Android/TalkBack/真实恢复和M5日用仍待，不降级补装旧候选。；2026-10-21最新实际安装15014（1.2.0-rc.10，工作包v1.5.1-r4），本轮由15013直接同身份覆盖且全数据保持，当前无新待安装APK，不倒退补装旧候选；用户完整交互/Android/TalkBack/真实恢复/M5仍待。定时PAUSED保持，无下一批准本地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  <x:row r="264" ht="350" customHeight="1">
      <x:c r="A264" s="135" t="str">
        <x:v>HISTORY-R4-BI-DATE-20261021</x:v>
      </x:c>
      <x:c r="B264" s="135" t="str">
        <x:v>新增统计日期前r4完整范围</x:v>
      </x:c>
      <x:c r="C264" s="135" t="str">
        <x:v>保留原1–2人日/停用来源范围，不回写结束ROUND</x:v>
      </x:c>
      <x:c r="D264" s="135" t="str">
        <x:v>v1.5.1-r4</x:v>
      </x:c>
      <x:c r="E264" s="135" t="str">
        <x:v>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15014.0]；完整17列：["v1.5.1-r4", "停用来源区分fix", "清楚识别成员自身与所属团体停用", "待开发", "P0", "v1.5.1-r3", 1.0, 2.0, "先只读状态原因模型，再共用管理卡片/成员选项/相关提示，最后四组合与恢复回归", "成员自身停用显示成员已停用、所属团体停用显示团体已停用，两者同时均可读；团体管理和参与成员选择/已选摘要/服务提示统一来源；既有可选性、空信息和历史保留。见INACTIVE_REASON_FIX_20261020.md", "仅源码分析和规划，无业务修改/新APK。需四组合、恢复团体后自身状态保持、历史/空团体/缺失关系、portrait320–430/200%语义与原库存/完整恢复验证", "个人按成员身份解释，不扩展为Person级级联；不修改原active/ID/NULL/历史/成本/库存；具体措辞和双原因布局待检查，定时实际PAUSED不恢复", "成员目录/只读原因、共用实体网格与成员输入、相关服务异常及对应测试/UI说明；无schema迁移", 15014.0, "1.2.0", "M5", "15013后新增停用提示修复，原包已交不回写；产品1.2.0未正式发布，拟rc.10不另造产品补丁"]</x:v>
      </x:c>
      <x:c r="F264" s="135" t="str">
        <x:v>当前完整r4调整为2–4人日，原身份/依赖/产品号保持</x:v>
      </x:c>
    </x:row>
    <x:row r="265" ht="350" customHeight="1">
      <x:c r="A265" s="135" t="str">
        <x:v>HISTORY-M5-BI-DATE-20261021</x:v>
      </x:c>
      <x:c r="B265" s="135" t="str">
        <x:v>新增统计日期前M5完整行</x:v>
      </x:c>
      <x:c r="C265" s="135" t="str">
        <x:v>保留原15–26/累计63–107及15013已安装和未验历史</x:v>
      </x:c>
      <x:c r="D265" s="135" t="str">
        <x:v>M5</x:v>
      </x:c>
      <x:c r="E265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", "M4", "已完成日用验收的1.2.0；稳定化不凭空升补丁号"]</x:v>
      </x:c>
      <x:c r="F265" s="135" t="str">
        <x:v>新本段16–28/累计64–109；M5仍需整改，不把规划当通过</x:v>
      </x:c>
    </x:row>
    <x:row r="266" ht="350" customHeight="1">
      <x:c r="A266" s="135" t="str">
        <x:v>BI-DATE-FILTER-FIX-20261021</x:v>
      </x:c>
      <x:c r="B266" s="135" t="str">
        <x:v>今日、日历及月年导航</x:v>
      </x:c>
      <x:c r="C266" s="135" t="str">
        <x:v>2026-10-21用户反馈；ROUND-20261021-BI-DATE-PLAN-01</x:v>
      </x:c>
      <x:c r="D266" s="135" t="str">
        <x:v>v1.5.1-r4/M5/1.2.0</x:v>
      </x:c>
      <x:c r="E266" s="135" t="str">
        <x:v>BI_DATE_FILTER_FIX_20261021.md；上海当天快捷日范围、共用日期日历确认取消、日历切月选年及月年范围明确前后按钮；原筛选/统计口径保持</x:v>
      </x:c>
      <x:c r="F266" s="135" t="str">
        <x:v>仅规划并入下一唯一r4，2–4人日，拟rc.10/code&gt;=15014无新APK；15013已装不含本修复；PAUSED保持</x:v>
      </x:c>
    </x:row>
    <x:row r="267" ht="350" customHeight="1">
      <x:c r="A267" s="135" t="str">
        <x:v>HISTORY-V151-R4-M5-20261021</x:v>
      </x:c>
      <x:c r="B267" s="135" t="str">
        <x:v>本次开发前M5完整行</x:v>
      </x:c>
      <x:c r="C267" s="135" t="str">
        <x:v>原估算/新增范围与15013已安装未验事实保留</x:v>
      </x:c>
      <x:c r="D267" s="135" t="str">
        <x:v>M5</x:v>
      </x:c>
      <x:c r="E267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", "M4", "已完成日用验收的1.2.0；稳定化不凭空升补丁号"]</x:v>
      </x:c>
      <x:c r="F267" s="135" t="str">
        <x:v>整包本地完成也不能自动标用户/M5通过</x:v>
      </x:c>
    </x:row>
    <x:row r="268" ht="350" customHeight="1">
      <x:c r="A268" s="135" t="str">
        <x:v>V151-R4-LOCAL-20261021</x:v>
      </x:c>
      <x:c r="B268" s="135" t="str">
        <x:v>停用与统计日期完整修复</x:v>
      </x:c>
      <x:c r="C268" s="135" t="str">
        <x:v>ROUND-20261021-V151-R4-01</x:v>
      </x:c>
      <x:c r="D268" s="135" t="str">
        <x:v>v1.5.1-r4/M5/1.2.0</x:v>
      </x:c>
      <x:c r="E268" s="135" t="str">
        <x:v>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</x:v>
      </x:c>
      <x:c r="F268" s="135" t="str">
        <x:v>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</x:v>
      </x:c>
    </x:row>
    <x:row r="269" ht="350" customHeight="1">
      <x:c r="A269" s="135" t="str">
        <x:v>S25-UPGRADE-15014-PENDING-20261021</x:v>
      </x:c>
      <x:c r="B269" s="135" t="str">
        <x:v>设备覆盖待重新配对</x:v>
      </x:c>
      <x:c r="C269" s="135" t="str">
        <x:v>ROUND-20261021-S25-UPGRADE-15014-01</x:v>
      </x:c>
      <x:c r="D269" s="135" t="str">
        <x:v>v1.5.1-r4/15014</x:v>
      </x:c>
      <x:c r="E269" s="135" t="str">
        <x:v>2026-10-21用户明确覆盖安装15014。已发现原S25无线服务，同LAN且TCP可达，但ADB配对TLS被手机拒绝certificate unknown；原IP和mDNS名称重试均未接通。需新配对端口和临时码，已请求；未取得当前备份，未写NAS、未安装或改数据/方向息屏。</x:v>
      </x:c>
      <x:c r="F269" s="135" t="str">
        <x:v>保留15014本地完成/待实机、15013最近已装及M5待用户，定时PAUSED保持。连接后先新全备份再安装；本条连接中断保留历史，交付另追加，不回写已结束轮。</x:v>
      </x:c>
    </x:row>
    <x:row r="270" ht="350" customHeight="1">
      <x:c r="A270" s="135" t="str">
        <x:v>S25-UPGRADE-15014-20261021</x:v>
      </x:c>
      <x:c r="B270" s="135" t="str">
        <x:v>设备交付完成</x:v>
      </x:c>
      <x:c r="C270" s="135" t="str">
        <x:v>ROUND-20261021-S25-UPGRADE-15014-01；前次旧配对拒绝另行保留</x:v>
      </x:c>
      <x:c r="D270" s="135" t="str">
        <x:v>v1.5.1-r4/15014</x:v>
      </x:c>
      <x:c r="E270" s="135" t="str">
        <x:v>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</x:v>
      </x:c>
      <x:c r="F270" s="135" t="str">
        <x:v>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</x:v>
      </x:c>
    </x:row>
    <x:row r="271" ht="350" customHeight="1">
      <x:c r="A271" s="135" t="str">
        <x:v>HISTORY-S25-UPGRADE-15014-M5-20261021</x:v>
      </x:c>
      <x:c r="B271" s="135" t="str">
        <x:v>本轮安装前M5完整行</x:v>
      </x:c>
      <x:c r="C271" s="135" t="str">
        <x:v>只追加安装证据；原估算/待验条件保持</x:v>
      </x:c>
      <x:c r="D271" s="135" t="str">
        <x:v>M5</x:v>
      </x:c>
      <x:c r="E271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XML版本提示保留日志，固定工具链未变，正式签名验签另实测。", "M4", "已完成日用验收的1.2.0；稳定化不凭空升补丁号"]</x:v>
      </x:c>
      <x:c r="F271" s="135" t="str">
        <x:v>M5保持待用户复核，不把安装/启动/完整数据保持算功能或阶段通过</x:v>
      </x:c>
    </x:row>
    <x:row r="272" ht="350" customHeight="1">
      <x:c r="A272" s="135" t="str">
        <x:v>HISTORY-BI-MEMBER-M5-20261025</x:v>
      </x:c>
      <x:c r="B272" s="135" t="str">
        <x:v>新增r5前M5完整行</x:v>
      </x:c>
      <x:c r="C272" s="135" t="str">
        <x:v>保留15014已装及原16–28/累计64–109和所有未验事实</x:v>
      </x:c>
      <x:c r="D272" s="135" t="str">
        <x:v>M5</x:v>
      </x:c>
      <x:c r="E272" s="135" t="str">
        <x:v>["M5", "正式日用验收", "v1.5.1,v1.5.1-r1,v1.5.1-r2,v1.5.1-r3,v1.5.1-r4",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；今日快捷、日历点选确认取消、月年导航/跨月跨年闰日及筛选/下钻保持", "16–28", "64–109",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；追加r4日期控件跨日/边界/同源/取消不写与窄屏大字语义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；2026-10-21时间筛选仅规划合入r4，仍未实现；原15013安装和数据保持事实不变，M5保持需整改；本地与签名APK完成/待集中无线实机验收。完整r4：停用原因区分成员/团体/双原因及相关管理选择服务提示；统计今日快捷/日历确认取消/选年切月和具体期间导航，管理及成员日期共用，其他筛选保留。435全量无跳过/静态类型零问题，13新专项及12幅portrait320–430/200%中文证据；四状态/恢复团体不改成员/历史保留、上海跨日和真实日历月年点击/系统返回、完整数据库前后无写对账通过。Python恢复15/流程27/Git5及Dart完整恢复/旧schema/成本链回归通过。生产62Pub/87Maven公告0匹配（SDK等除外）；正式1.2.0-rc.10/15014固定身份/永久证书/有效签名及递增code通过，最终应用源码与构建目录一致。见V151_R4_HANDOFF_20261021.md。；2026-10-21同一设备轮重配后，S25已15013→正式1.2.0-rc.10/15014原位覆盖。固定包名/名称/永久证书/签名及递增code、首次安装时间和方向息屏保持；两次冷启动成功156/131ms。当前schema8全库对象/列/逐行原值/历史/序列完全一致，353记录/26成员/18团体/342旧明细、6设置和主库及4附件逐字节保持；E/NAS前后两代各2文件一致，手机本轮导出/XML与可再生副本已清理，手机留首页。见docs/acceptance/S25_UPGRADE_15014_20261021.md。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；完整r4还含新增统计日期分支，先共享基础再页面与整包验证；本轮只规划，定时不自行恢复；schema8/原ID/动作戳/原文/缺键NULL/历史/金额库存和恢复协议不迁移；只读派生原因，不连带启停Person/成员/券种，原保留身份编辑规则不变；今日只改筛选，不补历史今天。基于15013用户未完整实机验收继续，新15014未安装，Android字体/系统返回/TalkBack/原位覆盖数据保持/冷启动/真实恢复与M5日用仍待授权和实证。本轮无ADB/设备/NAS/真实写入，不开始第二包，PAUSED保持。初次缺导入、原生大字弹窗溢出/日期换行、完整年份分页浮点边界、测试夹具归属/年份格式与返回查找、可视化异步等待及弃用参数lint和选择高亮复核均保留日志，最终修正后完整通过；中断轮不记通过。原2–4/累计64–109范围估算保留。 首个完整回归433过/2项普通方块字体测量失败，已保留真实中文专项的两位日期不换行断言，并将其限定在对应字体场景；最终435全量通过。构建SDK XML版本提示保留日志，固定工具链未变，正式签名验签另实测。；15014已安装/待用户验收；停用来源与今日/日历/月年导航完整交互、Android大字/返回/TalkBack、真实恢复及M5日用观察仍待，不把安装/启动/数据保持算阶段通过。无新待安装APK、无下一批准本地包；20主线/累计64–109及原2–4范围保持，定时实际PAUSED不恢复，设备/NAS授权仅本轮。此前旧配对拒绝与重连历史保留。", "M4", "已完成日用验收的1.2.0；稳定化不凭空升补丁号"]</x:v>
      </x:c>
      <x:c r="F272" s="135" t="str">
        <x:v>新增后19–33/累计67–114，未将安装当阶段通过</x:v>
      </x:c>
    </x:row>
    <x:row r="273" ht="350" customHeight="1">
      <x:c r="A273" s="135" t="str">
        <x:v>BI-MEMBER-SPENDING-FIX-20261025</x:v>
      </x:c>
      <x:c r="B273" s="135" t="str">
        <x:v>成员花费原地与同人合计统一</x:v>
      </x:c>
      <x:c r="C273" s="135" t="str">
        <x:v>ROUND-20261025-BI-MEMBER-PLAN-01；DEC080/081及RISK040</x:v>
      </x:c>
      <x:c r="D273" s="135" t="str">
        <x:v>v1.5.1-r5/M5/1.2.0</x:v>
      </x:c>
      <x:c r="E273" s="135" t="str">
        <x:v>BI_MEMBER_SPENDING_FIX_20261025.md；下一唯一，依赖r4，3–5人日；代表身份/颜色与共同费用保守待检查</x:v>
      </x:c>
      <x:c r="F273" s="135" t="str">
        <x:v>仅规划，无业务/构建/设备，定时PAUSED不恢复</x:v>
      </x:c>
    </x:row>
    <x:row r="274" ht="350" customHeight="1">
      <x:c r="A274" s="135" t="str">
        <x:v>NOW-BRIEF-RESEARCH-20261025</x:v>
      </x:c>
      <x:c r="B274" s="135" t="str">
        <x:v>One UI9公开权限研究</x:v>
      </x:c>
      <x:c r="C274" s="135" t="str">
        <x:v>三星官方说明/Newsroom/Developer公开目录</x:v>
      </x:c>
      <x:c r="D274" s="135" t="str">
        <x:v>v1.5.1-r5研究记录，无接入开发</x:v>
      </x:c>
      <x:c r="E274" s="135" t="str">
        <x:v>用户自定义卡片已公布，任意第三方数据写入SDK/permission未找到；未核设备固件或合作接口</x:v>
      </x:c>
      <x:c r="F274" s="135" t="str">
        <x:v>不把Now Bar当Now Brief、不申请高权限、不上传数据；后续明确入口才另评估</x:v>
      </x:c>
    </x:row>
  </x:sheetData>
  <x:pageMargins left="0.7" right="0.7" top="0.75" bottom="0.75" header="0.3" footer="0.3"/>
</x:worksheet>
</file>