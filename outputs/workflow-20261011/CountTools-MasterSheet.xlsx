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aa964291f24b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4b0116d1a764435f"/>
    <x:sheet xmlns:r="http://schemas.openxmlformats.org/officeDocument/2006/relationships" name="Changelog" sheetId="2" r:id="Rc5725571f7e74f9d"/>
    <x:sheet xmlns:r="http://schemas.openxmlformats.org/officeDocument/2006/relationships" name="决策与风险" sheetId="3" r:id="R2a743ec10bd6494c"/>
    <x:sheet xmlns:r="http://schemas.openxmlformats.org/officeDocument/2006/relationships" name="执行约定" sheetId="4" r:id="R08b1e676d3e247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5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</x:fonts>
  <x:fills count="19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7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4c057970d84327" /><Relationship Type="http://schemas.openxmlformats.org/officeDocument/2006/relationships/theme" Target="/xl/theme/theme1.xml" Id="Ra73e75da1aa74910" /><Relationship Type="http://schemas.openxmlformats.org/officeDocument/2006/relationships/sharedStrings" Target="/xl/sharedStrings.xml" Id="R7c3e2bd40c7b4a73" /><Relationship Type="http://schemas.openxmlformats.org/officeDocument/2006/relationships/worksheet" Target="/xl/worksheets/sheet1.xml" Id="R4b0116d1a764435f" /><Relationship Type="http://schemas.openxmlformats.org/officeDocument/2006/relationships/worksheet" Target="/xl/worksheets/sheet2.xml" Id="Rc5725571f7e74f9d" /><Relationship Type="http://schemas.openxmlformats.org/officeDocument/2006/relationships/worksheet" Target="/xl/worksheets/sheet3.xml" Id="R2a743ec10bd6494c" /><Relationship Type="http://schemas.openxmlformats.org/officeDocument/2006/relationships/worksheet" Target="/xl/worksheets/sheet4.xml" Id="R08b1e676d3e247c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12工作包≠12次发布；已选定MVP先行；6阶段均未开始；个人APK未构建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COUNTIFS(D8:D37,"待开发")</x:f>
        <x:v>12</x:v>
      </x:c>
      <x:c r="C4" s="2" t="str">
        <x:v>最少人日</x:v>
      </x:c>
      <x:c r="D4" s="2" t="n">
        <x:f>SUMIFS(G8:G37,D8:D37,"待开发")</x:f>
        <x:v>37</x:v>
      </x:c>
      <x:c r="E4" s="2" t="str">
        <x:v>最多人日</x:v>
      </x:c>
      <x:c r="F4" s="2" t="n">
        <x:f>SUMIFS(H8:H37,D8:D37,"待开发")</x:f>
        <x:v>62</x:v>
      </x:c>
      <x:c r="G4" s="2"/>
      <x:c r="H4" s="2"/>
      <x:c r="I4" s="2"/>
      <x:c r="J4" s="2"/>
      <x:c r="K4" s="2"/>
      <x:c r="L4" s="2"/>
      <x:c r="M4" s="2"/>
      <x:c r="N4" s="2"/>
    </x:row>
    <x:row r="5" ht="38" customHeight="1">
      <x:c r="A5" s="10" t="str">
        <x:v>看O/P/Q列和下方阶段检查表。37–62人日为粗估，不含等待；用户已选定MVP先行。产品号为个人版规划目标，首次候选前固定。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64" customHeight="1">
      <x:c r="A8" s="11" t="str">
        <x:v>BASE-UPSTREAM</x:v>
      </x:c>
      <x:c r="B8" s="11" t="str">
        <x:v>来源基线</x:v>
      </x:c>
      <x:c r="C8" s="11" t="str">
        <x:v>保留来源与旧数据语义</x:v>
      </x:c>
      <x:c r="D8" s="11" t="str">
        <x:v>历史基线</x:v>
      </x:c>
      <x:c r="E8" s="11" t="str">
        <x:v>P0</x:v>
      </x:c>
      <x:c r="F8" s="11" t="str"/>
      <x:c r="G8" s="14" t="n">
        <x:v>0</x:v>
      </x:c>
      <x:c r="H8" s="14" t="n">
        <x:v>0</x:v>
      </x:c>
      <x:c r="I8" s="11" t="str">
        <x:v>固定本地上游起点</x:v>
      </x:c>
      <x:c r="J8" s="11" t="str">
        <x:v>baseline/upstream；Apache-2.0；个人fork</x:v>
      </x:c>
      <x:c r="K8" s="11" t="str">
        <x:v>源码已克隆；旧App全库导出已完成</x:v>
      </x:c>
      <x:c r="L8" s="11" t="str">
        <x:v>源码与安装APK未证明精确对应</x:v>
      </x:c>
      <x:c r="M8" s="11" t="str">
        <x:v>全仓库</x:v>
      </x:c>
      <x:c r="N8" s="14"/>
      <x:c r="O8" s="69"/>
      <x:c r="P8" s="69"/>
      <x:c r="Q8" s="69"/>
    </x:row>
    <x:row r="9" ht="64" customHeight="1">
      <x:c r="A9" s="10" t="str">
        <x:v>WF-001</x:v>
      </x:c>
      <x:c r="B9" s="10" t="str">
        <x:v>流程建立</x:v>
      </x:c>
      <x:c r="C9" s="10" t="str">
        <x:v>可连续使用的个人开发流程</x:v>
      </x:c>
      <x:c r="D9" s="10" t="str">
        <x:v>已完成</x:v>
      </x:c>
      <x:c r="E9" s="10" t="str">
        <x:v>P0</x:v>
      </x:c>
      <x:c r="F9" s="10" t="str">
        <x:v>BASE-UPSTREAM</x:v>
      </x:c>
      <x:c r="G9" s="15" t="n">
        <x:v>0</x:v>
      </x:c>
      <x:c r="H9" s="15" t="n">
        <x:v>0</x:v>
      </x:c>
      <x:c r="I9" s="10" t="str">
        <x:v>参考SalaryFlow并按Flutter适配</x:v>
      </x:c>
      <x:c r="J9" s="10" t="str">
        <x:v>四表、AGENTS、指导md、检查脚本、独立分支</x:v>
      </x:c>
      <x:c r="K9" s="10" t="str">
        <x:v>文档/规划结构、负例/历史保护、脚本、只读库和视觉复核通过；未构建产品。</x:v>
      </x:c>
      <x:c r="L9" s="10" t="str">
        <x:v>不改业务/身份/签名/工具链，不连接设备</x:v>
      </x:c>
      <x:c r="M9" s="10" t="str">
        <x:v>文档/脚本/CI</x:v>
      </x:c>
      <x:c r="N9" s="15"/>
      <x:c r="O9" s="70"/>
      <x:c r="P9" s="70"/>
      <x:c r="Q9" s="70"/>
    </x:row>
    <x:row r="10" ht="64" customHeight="1">
      <x:c r="A10" s="11" t="str">
        <x:v>v1.1.0</x:v>
      </x:c>
      <x:c r="B10" s="11" t="str">
        <x:v>身份与环境</x:v>
      </x:c>
      <x:c r="C10" s="11" t="str">
        <x:v>独立身份及可重复构建</x:v>
      </x:c>
      <x:c r="D10" s="11" t="str">
        <x:v>待开发</x:v>
      </x:c>
      <x:c r="E10" s="11" t="str">
        <x:v>P0</x:v>
      </x:c>
      <x:c r="F10" s="11" t="str">
        <x:v>WF-001</x:v>
      </x:c>
      <x:c r="G10" s="14" t="n">
        <x:v>2</x:v>
      </x:c>
      <x:c r="H10" s="14" t="n">
        <x:v>4</x:v>
      </x:c>
      <x:c r="I10" s="11" t="str">
        <x:v>固定个人身份、SDK和永久签名</x:v>
      </x:c>
      <x:c r="J10" s="11" t="str">
        <x:v>确认包名；SDK/JDK/Gradle/依赖锁；有效测试；解耦上游更新；正式构建脚本</x:v>
      </x:c>
      <x:c r="K10" s="11" t="str">
        <x:v>analyze/test/build；两候选同身份签名与递增；真机另验</x:v>
      </x:c>
      <x:c r="L10" s="11" t="str">
        <x:v>身份/显示名/SDK路线待用户决定；原私钥未知</x:v>
      </x:c>
      <x:c r="M10" s="11" t="str">
        <x:v>Android/pubspec/设置/脚本</x:v>
      </x:c>
      <x:c r="N10" s="14" t="n">
        <x:v>11000</x:v>
      </x:c>
      <x:c r="O10" s="69" t="str">
        <x:v>工程候选</x:v>
      </x:c>
      <x:c r="P10" s="69" t="str">
        <x:v>M0</x:v>
      </x:c>
      <x:c r="Q10" s="69" t="str">
        <x:v>构建与身份基础；没有新增业务，不单独作为用户能力升版</x:v>
      </x:c>
    </x:row>
    <x:row r="11" ht="64" customHeight="1">
      <x:c r="A11" s="10" t="str">
        <x:v>v1.1.1</x:v>
      </x:c>
      <x:c r="B11" s="10" t="str">
        <x:v>数据安全</x:v>
      </x:c>
      <x:c r="C11" s="10" t="str">
        <x:v>完整备份恢复与旧库导入</x:v>
      </x:c>
      <x:c r="D11" s="10" t="str">
        <x:v>待开发</x:v>
      </x:c>
      <x:c r="E11" s="10" t="str">
        <x:v>P0</x:v>
      </x:c>
      <x:c r="F11" s="10" t="str">
        <x:v>v1.1.0</x:v>
      </x:c>
      <x:c r="G11" s="15" t="n">
        <x:v>2</x:v>
      </x:c>
      <x:c r="H11" s="15" t="n">
        <x:v>3</x:v>
      </x:c>
      <x:c r="I11" s="10" t="str">
        <x:v>建立可验证的数据携带闭环</x:v>
      </x:c>
      <x:c r="J11" s="10" t="str">
        <x:v>一致快照；库+设置；预检/预览；隔离往返；原子切换及失败回滚</x:v>
      </x:c>
      <x:c r="K11" s="10" t="str">
        <x:v>ID/字段/记录一致；损坏拒绝；失败原库保留；冷启动读取</x:v>
      </x:c>
      <x:c r="L11" s="10" t="str">
        <x:v>首次真实导入前刷新系统备份；写入范围另授权</x:v>
      </x:c>
      <x:c r="M11" s="10" t="str">
        <x:v>数据库/模型/设置/测试</x:v>
      </x:c>
      <x:c r="N11" s="15" t="n">
        <x:v>11010</x:v>
      </x:c>
      <x:c r="O11" s="70" t="str">
        <x:v>工程候选</x:v>
      </x:c>
      <x:c r="P11" s="70" t="str">
        <x:v>M0</x:v>
      </x:c>
      <x:c r="Q11" s="70" t="str">
        <x:v>安全基础拆包；备份和回滚验证独立，仍属于同一工程候选</x:v>
      </x:c>
    </x:row>
    <x:row r="12" ht="64" customHeight="1">
      <x:c r="A12" s="11" t="str">
        <x:v>v1.1.2</x:v>
      </x:c>
      <x:c r="B12" s="11" t="str">
        <x:v>迁移基础</x:v>
      </x:c>
      <x:c r="C12" s="11" t="str">
        <x:v>稳定数据契约和逐级迁移</x:v>
      </x:c>
      <x:c r="D12" s="11" t="str">
        <x:v>待开发</x:v>
      </x:c>
      <x:c r="E12" s="11" t="str">
        <x:v>P1</x:v>
      </x:c>
      <x:c r="F12" s="11" t="str">
        <x:v>v1.1.1</x:v>
      </x:c>
      <x:c r="G12" s="14" t="n">
        <x:v>1</x:v>
      </x:c>
      <x:c r="H12" s="14" t="n">
        <x:v>2</x:v>
      </x:c>
      <x:c r="I12" s="11" t="str">
        <x:v>为后续功能建立兼容机制</x:v>
      </x:c>
      <x:c r="J12" s="11" t="str">
        <x:v>schema版本；业务校验；旧备份兼容；消费者检查</x:v>
      </x:c>
      <x:c r="K12" s="11" t="str">
        <x:v>迁移/重复启动/故障回滚与旧备份隔离验证；真机另验</x:v>
      </x:c>
      <x:c r="L12" s="11" t="str">
        <x:v>不提前转换TEXT金额或改历史事实</x:v>
      </x:c>
      <x:c r="M12" s="11" t="str">
        <x:v>持久化/备份/全部消费者</x:v>
      </x:c>
      <x:c r="N12" s="14" t="n">
        <x:v>11020</x:v>
      </x:c>
      <x:c r="O12" s="69" t="str">
        <x:v>工程候选</x:v>
      </x:c>
      <x:c r="P12" s="69" t="str">
        <x:v>M0</x:v>
      </x:c>
      <x:c r="Q12" s="69" t="str">
        <x:v>迁移机制独立验收；schema变化本身不触发App大版本</x:v>
      </x:c>
    </x:row>
    <x:row r="13" ht="64" customHeight="1">
      <x:c r="A13" s="10" t="str">
        <x:v>v1.2.0</x:v>
      </x:c>
      <x:c r="B13" s="10" t="str">
        <x:v>业务实体与契约</x:v>
      </x:c>
      <x:c r="C13" s="10" t="str">
        <x:v>管理团体、艺名和同一人</x:v>
      </x:c>
      <x:c r="D13" s="10" t="str">
        <x:v>待开发</x:v>
      </x:c>
      <x:c r="E13" s="10" t="str">
        <x:v>P0</x:v>
      </x:c>
      <x:c r="F13" s="10" t="str">
        <x:v>v1.1.2</x:v>
      </x:c>
      <x:c r="G13" s="15" t="n">
        <x:v>3</x:v>
      </x:c>
      <x:c r="H13" s="15" t="n">
        <x:v>5</x:v>
      </x:c>
      <x:c r="I13" s="10" t="str">
        <x:v>建立Cheki/券管理的新领域基础</x:v>
      </x:c>
      <x:c r="J13" s="10" t="str">
        <x:v>团体/Person/成员身份与历史名、颜色/停用；可扩展尺寸/属性；操作ID、数量/成本/备份契约；不自动映射旧库</x:v>
      </x:c>
      <x:c r="K13" s="10" t="str">
        <x:v>同人跨团合并而历史身份保留；三/五寸默认；四寸不写死；外键/契约与合成迁移测试；新增当前表/状态/成本与设置的隔离备份恢复等价，非仅旧四表</x:v>
      </x:c>
      <x:c r="L13" s="10" t="str">
        <x:v>暂定方案；DEC-006/007/008/014裁决；旧通用数据保留</x:v>
      </x:c>
      <x:c r="M13" s="10" t="str">
        <x:v>新领域模型/存储/管理页/迁移契约</x:v>
      </x:c>
      <x:c r="N13" s="15" t="n">
        <x:v>12000</x:v>
      </x:c>
      <x:c r="O13" s="70" t="str">
        <x:v>0.1.0</x:v>
      </x:c>
      <x:c r="P13" s="70" t="str">
        <x:v>M1</x:v>
      </x:c>
      <x:c r="Q13" s="70" t="str">
        <x:v>实体/契约基础包，和记录包共同形成首个Cheki预览，不各发一个小版</x:v>
      </x:c>
    </x:row>
    <x:row r="14" ht="64" customHeight="1">
      <x:c r="A14" s="47" t="str">
        <x:v>WF-002</x:v>
      </x:c>
      <x:c r="B14" s="47" t="str">
        <x:v>需求评估与规划</x:v>
      </x:c>
      <x:c r="C14" s="47" t="str">
        <x:v>可评审的Cheki/券管理路线</x:v>
      </x:c>
      <x:c r="D14" s="47" t="str">
        <x:v>已完成</x:v>
      </x:c>
      <x:c r="E14" s="47" t="str">
        <x:v>P0</x:v>
      </x:c>
      <x:c r="F14" s="47" t="str">
        <x:v>WF-001</x:v>
      </x:c>
      <x:c r="G14" s="48" t="n">
        <x:v>0</x:v>
      </x:c>
      <x:c r="H14" s="48" t="n">
        <x:v>0</x:v>
      </x:c>
      <x:c r="I14" s="47" t="str">
        <x:v>评估暂定V0.2并建立需求覆盖与版本路线</x:v>
      </x:c>
      <x:c r="J14" s="47" t="str">
        <x:v>需求原文、差距/初步设计、四表规划与历史保护</x:v>
      </x:c>
      <x:c r="K14" s="47" t="str">
        <x:v>42项覆盖、12开发版/依赖/估算、历史保护、19项流程回归及四表视觉复核通过；仅规划交付，未产品构建。</x:v>
      </x:c>
      <x:c r="L14" s="47" t="str">
        <x:v>本轮仅规划；实施前确认相依决定；不连接手机</x:v>
      </x:c>
      <x:c r="M14" s="47" t="str">
        <x:v>规划/文档/流程检查</x:v>
      </x:c>
      <x:c r="N14" s="48"/>
      <x:c r="O14" s="69"/>
      <x:c r="P14" s="69"/>
      <x:c r="Q14" s="69"/>
    </x:row>
    <x:row r="15" ht="64" customHeight="1">
      <x:c r="A15" s="53" t="str">
        <x:v>v1.2.1</x:v>
      </x:c>
      <x:c r="B15" s="53" t="str">
        <x:v>Cheki记录与状态</x:v>
      </x:c>
      <x:c r="C15" s="53" t="str">
        <x:v>单切/多人及日汇总一致</x:v>
      </x:c>
      <x:c r="D15" s="53" t="str">
        <x:v>待开发</x:v>
      </x:c>
      <x:c r="E15" s="53" t="str">
        <x:v>P0</x:v>
      </x:c>
      <x:c r="F15" s="53" t="str">
        <x:v>v1.2.0</x:v>
      </x:c>
      <x:c r="G15" s="59" t="n">
        <x:v>4</x:v>
      </x:c>
      <x:c r="H15" s="59" t="n">
        <x:v>6</x:v>
      </x:c>
      <x:c r="I15" s="53" t="str">
        <x:v>建立真实张数和参与数的单一来源</x:v>
      </x:c>
      <x:c r="J15" s="53" t="str">
        <x:v>快速仅记切；日期/尺寸/独立属性；联合参与关系；四状态数量桶与部分转移；日聚合、流水及无券纠错</x:v>
      </x:c>
      <x:c r="K15" s="53" t="str">
        <x:v>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</x:v>
      </x:c>
      <x:c r="L15" s="53" t="str">
        <x:v>DEC-009状态默认/部分转移；不提前启用联动扣券</x:v>
      </x:c>
      <x:c r="M15" s="53" t="str">
        <x:v>Cheki服务/状态/记录页面/聚合查询</x:v>
      </x:c>
      <x:c r="N15" s="59" t="n">
        <x:v>12010</x:v>
      </x:c>
      <x:c r="O15" s="70" t="str">
        <x:v>0.1.0</x:v>
      </x:c>
      <x:c r="P15" s="70" t="str">
        <x:v>M1</x:v>
      </x:c>
      <x:c r="Q15" s="70" t="str">
        <x:v>完成可操作的仅记切闭环；历史.1是工作包序号，不是产品补丁</x:v>
      </x:c>
    </x:row>
    <x:row r="16" ht="64" customHeight="1">
      <x:c r="A16" s="11" t="str">
        <x:v>v1.3.0</x:v>
      </x:c>
      <x:c r="B16" s="11" t="str">
        <x:v>券库存与成本</x:v>
      </x:c>
      <x:c r="C16" s="11" t="str">
        <x:v>长期合并、限时可见且成本可追溯</x:v>
      </x:c>
      <x:c r="D16" s="11" t="str">
        <x:v>待开发</x:v>
      </x:c>
      <x:c r="E16" s="11" t="str">
        <x:v>P0</x:v>
      </x:c>
      <x:c r="F16" s="11" t="str">
        <x:v>v1.2.0</x:v>
      </x:c>
      <x:c r="G16" s="12" t="n">
        <x:v>4</x:v>
      </x:c>
      <x:c r="H16" s="12" t="n">
        <x:v>7</x:v>
      </x:c>
      <x:c r="I16" s="11" t="str">
        <x:v>建立购入、库存流水与分配内核</x:v>
      </x:c>
      <x:c r="J16" s="11" t="str">
        <x:v>自定义个人/通用券；长期/到期池；购入成本批次；FEFO建议/FIFO成本；库存修正；临期配置与界面；本版操作纠错</x:v>
      </x:c>
      <x:c r="K16" s="11" t="str">
        <x:v>有效限时优先、过期仅手选；长期2×30再2×20转出1成本30；库存非负；失败原子回滚；未知成本明确；新增当前表/状态/成本与设置的隔离备份恢复等价，非仅旧四表</x:v>
      </x:c>
      <x:c r="L16" s="11" t="str">
        <x:v>DEC-010/011/012/013边界；不把成本批次暴露为长期库存池</x:v>
      </x:c>
      <x:c r="M16" s="11" t="str">
        <x:v>库存/购买/成本分配/流水/提醒/备份</x:v>
      </x:c>
      <x:c r="N16" s="12" t="n">
        <x:v>13000</x:v>
      </x:c>
      <x:c r="O16" s="69" t="str">
        <x:v>1.0.0</x:v>
      </x:c>
      <x:c r="P16" s="69" t="str">
        <x:v>M2</x:v>
      </x:c>
      <x:c r="Q16" s="69" t="str">
        <x:v>库存与FIFO内核独立验证，只硬依赖领域实体；与联动/交换共同交MVP</x:v>
      </x:c>
    </x:row>
    <x:row r="17" ht="64" customHeight="1">
      <x:c r="A17" s="53" t="str">
        <x:v>v1.3.1</x:v>
      </x:c>
      <x:c r="B17" s="53" t="str">
        <x:v>拍切关联扣券</x:v>
      </x:c>
      <x:c r="C17" s="53" t="str">
        <x:v>快捷登记与独立手调可靠提交</x:v>
      </x:c>
      <x:c r="D17" s="53" t="str">
        <x:v>待开发</x:v>
      </x:c>
      <x:c r="E17" s="53" t="str">
        <x:v>P0</x:v>
      </x:c>
      <x:c r="F17" s="53" t="str">
        <x:v>v1.2.1,v1.3.0</x:v>
      </x:c>
      <x:c r="G17" s="59" t="n">
        <x:v>3</x:v>
      </x:c>
      <x:c r="H17" s="59" t="n">
        <x:v>5</x:v>
      </x:c>
      <x:c r="I17" s="53" t="str">
        <x:v>将Cheki与多券种库存变化关联提交</x:v>
      </x:c>
      <x:c r="J17" s="53" t="str">
        <x:v>每人基础券建议；附加券/多券种；逐种逐截止日独立数字分配；恢复自动；过期提示；零扣券；关联编辑/撤销</x:v>
      </x:c>
      <x:c r="K17" s="53" t="str">
        <x:v>1切+基础1+留言1允许；改一池不改另一池；不足拒绝；故障Cheki/券/成本均不变；重复提交不重复记；新增当前表/状态/成本与设置的隔离备份恢复等价，非仅旧四表</x:v>
      </x:c>
      <x:c r="L17" s="53" t="str">
        <x:v>DEC-010补录时间/库存一致；DEC-013关联修改门槛；只用选择明细推导扣券</x:v>
      </x:c>
      <x:c r="M17" s="53" t="str">
        <x:v>登记交互/事务服务/关联查询/纠错</x:v>
      </x:c>
      <x:c r="N17" s="59" t="n">
        <x:v>13010</x:v>
      </x:c>
      <x:c r="O17" s="70" t="str">
        <x:v>1.0.0</x:v>
      </x:c>
      <x:c r="P17" s="70" t="str">
        <x:v>M2</x:v>
      </x:c>
      <x:c r="Q17" s="70" t="str">
        <x:v>Cheki+库存强事务耦合，两个已验证输入在此整合；未闭环不宣称MVP</x:v>
      </x:c>
    </x:row>
    <x:row r="18" ht="92" customHeight="1">
      <x:c r="A18" s="11" t="str">
        <x:v>v1.3.2</x:v>
      </x:c>
      <x:c r="B18" s="11" t="str">
        <x:v>交换赠送与历史纠错</x:v>
      </x:c>
      <x:c r="C18" s="11" t="str">
        <x:v>跨券池操作及后续依赖可追溯</x:v>
      </x:c>
      <x:c r="D18" s="11" t="str">
        <x:v>待开发</x:v>
      </x:c>
      <x:c r="E18" s="11" t="str">
        <x:v>P0</x:v>
      </x:c>
      <x:c r="F18" s="11" t="str">
        <x:v>v1.3.1</x:v>
      </x:c>
      <x:c r="G18" s="12" t="n">
        <x:v>5</x:v>
      </x:c>
      <x:c r="H18" s="12" t="n">
        <x:v>8</x:v>
      </x:c>
      <x:c r="I18" s="11" t="str">
        <x:v>完成全部操作的成本守恒与关联纠错</x:v>
      </x:c>
      <x:c r="J18" s="11" t="str">
        <x:v>同/跨团、个人/通用券1:1交换；来源日期/目标长期或新截止日；继承成本及赠送；后续依赖预检、预览、关联逆向流水；基本数量/库存查看；全当前业务库+设置完整备份恢复（MVP门槛）</x:v>
      </x:c>
      <x:c r="K18" s="11" t="str">
        <x:v>交换不增支出/切数且成本守恒；送券仅减库存；原30成本换券仍30；下游已消费时禁止单边撤销并给整体修正预览；全当前模型及设置恢复等价，故障原库不变；基本总数与库存可查看</x:v>
      </x:c>
      <x:c r="L18" s="11" t="str">
        <x:v>DEC-011交换后FIFO顺序；DEC-012分摊；DEC-013下游纠错策略；M2前当前模型备份恢复必过，真机/试用按本轮范围</x:v>
      </x:c>
      <x:c r="M18" s="11" t="str">
        <x:v>交换/赠送/成本链/流水详情与修改</x:v>
      </x:c>
      <x:c r="N18" s="12" t="n">
        <x:v>13020</x:v>
      </x:c>
      <x:c r="O18" s="69" t="str">
        <x:v>1.0.0</x:v>
      </x:c>
      <x:c r="P18" s="69" t="str">
        <x:v>M2</x:v>
      </x:c>
      <x:c r="Q18" s="69" t="str">
        <x:v>补齐购/拍/换/送/纠错/恢复闭环，达到首个个人核心MVP</x:v>
      </x:c>
    </x:row>
    <x:row r="19" ht="64" customHeight="1">
      <x:c r="A19" s="53" t="str">
        <x:v>v1.4.0</x:v>
      </x:c>
      <x:c r="B19" s="53" t="str">
        <x:v>BI统计与分析</x:v>
      </x:c>
      <x:c r="C19" s="53" t="str">
        <x:v>两套数量口径和成本清楚可比</x:v>
      </x:c>
      <x:c r="D19" s="53" t="str">
        <x:v>待开发</x:v>
      </x:c>
      <x:c r="E19" s="53" t="str">
        <x:v>P1</x:v>
      </x:c>
      <x:c r="F19" s="53" t="str">
        <x:v>v1.3.2</x:v>
      </x:c>
      <x:c r="G19" s="59" t="n">
        <x:v>4</x:v>
      </x:c>
      <x:c r="H19" s="59" t="n">
        <x:v>6</x:v>
      </x:c>
      <x:c r="I19" s="53" t="str">
        <x:v>建立可筛选可导出的BI看板</x:v>
      </x:c>
      <x:c r="J19" s="53" t="str">
        <x:v>日/周/月/年/全部及范围接口；团体成员/Person；尺寸/属性/状态；数量/占比/存量/支出成本；排序表、柱/线/占比图、筛选明细与CSV统计导出</x:v>
      </x:c>
      <x:c r="K19" s="53" t="str">
        <x:v>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</x:v>
      </x:c>
      <x:c r="L19" s="53" t="str">
        <x:v>DEC-014多人团体/Person去重及过滤；DEC-010周/日边界；金额未知不伪造零</x:v>
      </x:c>
      <x:c r="M19" s="53" t="str">
        <x:v>查询/指标契约/图表/统计导出</x:v>
      </x:c>
      <x:c r="N19" s="59" t="n">
        <x:v>14000</x:v>
      </x:c>
      <x:c r="O19" s="70" t="str">
        <x:v>1.1.0</x:v>
      </x:c>
      <x:c r="P19" s="70" t="str">
        <x:v>M3</x:v>
      </x:c>
      <x:c r="Q19" s="70" t="str">
        <x:v>兼容新增完整分析与看板能力，触发产品小版本，不因图表数量升版</x:v>
      </x:c>
    </x:row>
    <x:row r="20" ht="64" customHeight="1">
      <x:c r="A20" s="11" t="str">
        <x:v>v1.4.1</x:v>
      </x:c>
      <x:c r="B20" s="11" t="str">
        <x:v>批量导入导出与备份</x:v>
      </x:c>
      <x:c r="C20" s="11" t="str">
        <x:v>迁移全业务数据且避免重复累计</x:v>
      </x:c>
      <x:c r="D20" s="11" t="str">
        <x:v>待开发</x:v>
      </x:c>
      <x:c r="E20" s="11" t="str">
        <x:v>P0</x:v>
      </x:c>
      <x:c r="F20" s="11" t="str">
        <x:v>v1.3.2</x:v>
      </x:c>
      <x:c r="G20" s="12" t="n">
        <x:v>4</x:v>
      </x:c>
      <x:c r="H20" s="12" t="n">
        <x:v>7</x:v>
      </x:c>
      <x:c r="I20" s="11" t="str">
        <x:v>完成新领域的结构化数据携带闭环</x:v>
      </x:c>
      <x:c r="J20" s="11" t="str">
        <x:v>CSV多表模板：实体/关联/切/状态/券/库存/购买/流水；格式/匹配/重复校验、预览；交易与快照分模式；全业务导出；新schema完整备份恢复</x:v>
      </x:c>
      <x:c r="K20" s="11" t="str">
        <x:v>无效关联/重复ID/负库存拒绝且原库不变；快照与历史不双记；金额/成本/参与/状态/设置/未知字段往返相等；冷启动可读</x:v>
      </x:c>
      <x:c r="L20" s="11" t="str">
        <x:v>DEC-015模板/快照基准/冲突；XLSX为格式扩展候选，CSV满足首版结构化要求；真写另授权</x:v>
      </x:c>
      <x:c r="M20" s="11" t="str">
        <x:v>模板/导入预检预览/导出/备份/恢复</x:v>
      </x:c>
      <x:c r="N20" s="12" t="n">
        <x:v>14010</x:v>
      </x:c>
      <x:c r="O20" s="69" t="str">
        <x:v>1.2.0</x:v>
      </x:c>
      <x:c r="P20" s="69" t="str">
        <x:v>M4</x:v>
      </x:c>
      <x:c r="Q20" s="69" t="str">
        <x:v>兼容新增批量携带能力；硬依赖完整业务模型，不依赖BI界面</x:v>
      </x:c>
    </x:row>
    <x:row r="21" ht="64" customHeight="1">
      <x:c r="A21" s="53" t="str">
        <x:v>v1.5.0</x:v>
      </x:c>
      <x:c r="B21" s="53" t="str">
        <x:v>旧记录映射与迁移</x:v>
      </x:c>
      <x:c r="C21" s="53" t="str">
        <x:v>保留历史事实并可审阅逐项映射</x:v>
      </x:c>
      <x:c r="D21" s="53" t="str">
        <x:v>待开发</x:v>
      </x:c>
      <x:c r="E21" s="53" t="str">
        <x:v>P0</x:v>
      </x:c>
      <x:c r="F21" s="53" t="str">
        <x:v>v1.4.1</x:v>
      </x:c>
      <x:c r="G21" s="59" t="n">
        <x:v>3</x:v>
      </x:c>
      <x:c r="H21" s="59" t="n">
        <x:v>5</x:v>
      </x:c>
      <x:c r="I21" s="53" t="str">
        <x:v>将旧通用计数数据安全带入新领域</x:v>
      </x:c>
      <x:c r="J21" s="53" t="str">
        <x:v>旧记录只读归档；原ID/ext/未知值保留；成员/尺寸/数量/日期映射预览；未知状态/成本不推断；旧金额独立保留；隔离迁移与差异报告</x:v>
      </x:c>
      <x:c r="K21" s="53" t="str">
        <x:v>旧342明细按映射保留可追溯、不是自动等同342切；不由price造购买流水/库存；原备份不变；用户审阅后才实际导入</x:v>
      </x:c>
      <x:c r="L21" s="53" t="str">
        <x:v>DEC-016旧记录含义与缺失字段；刷新备份与真实写入范围授权；当前快照仅基准</x:v>
      </x:c>
      <x:c r="M21" s="53" t="str">
        <x:v>旧库适配器/映射预览/隔离迁移/报告</x:v>
      </x:c>
      <x:c r="N21" s="59" t="n">
        <x:v>15000</x:v>
      </x:c>
      <x:c r="O21" s="70" t="str">
        <x:v>1.2.0</x:v>
      </x:c>
      <x:c r="P21" s="70" t="str">
        <x:v>M4</x:v>
      </x:c>
      <x:c r="Q21" s="70" t="str">
        <x:v>同次数据携带能力的旧映射包；独立迁移风险单包验收，不另升小版</x:v>
      </x:c>
    </x:row>
    <x:row r="22" ht="64" customHeight="1">
      <x:c r="A22" s="11" t="str">
        <x:v>v1.5.1</x:v>
      </x:c>
      <x:c r="B22" s="11" t="str">
        <x:v>首版稳定化与日用验收</x:v>
      </x:c>
      <x:c r="C22" s="11" t="str">
        <x:v>完整V0.2核心闭环可日用</x:v>
      </x:c>
      <x:c r="D22" s="11" t="str">
        <x:v>待开发</x:v>
      </x:c>
      <x:c r="E22" s="11" t="str">
        <x:v>P0</x:v>
      </x:c>
      <x:c r="F22" s="11" t="str">
        <x:v>v1.4.0,v1.5.0</x:v>
      </x:c>
      <x:c r="G22" s="12" t="n">
        <x:v>2</x:v>
      </x:c>
      <x:c r="H22" s="12" t="n">
        <x:v>4</x:v>
      </x:c>
      <x:c r="I22" s="11" t="str">
        <x:v>用最新候选组合验收与恢复演练</x:v>
      </x:c>
      <x:c r="J22" s="11" t="str">
        <x:v>全42项覆盖；联动/纠错/FIFO/多人/筛选/导入回归；大数据性能；可访问性；最新候选身份与升级；授权后真机、重启与恢复演练</x:v>
      </x:c>
      <x:c r="K22" s="11" t="str">
        <x:v>配置/实现/测试/构建/签名/安装/数据/交互/冷启动/恢复分别记录；真实日用证据后收敛问题；未验项保持开放</x:v>
      </x:c>
      <x:c r="L22" s="11" t="str">
        <x:v>真机需本轮授权；不造真测试数据/降级安装；观察等待不计人日；本地通过不等于日用完成</x:v>
      </x:c>
      <x:c r="M22" s="11" t="str">
        <x:v>全产品/组合测试/候选与真实验收</x:v>
      </x:c>
      <x:c r="N22" s="12" t="n">
        <x:v>15010</x:v>
      </x:c>
      <x:c r="O22" s="69" t="str">
        <x:v>1.2.0</x:v>
      </x:c>
      <x:c r="P22" s="69" t="str">
        <x:v>M5</x:v>
      </x:c>
      <x:c r="Q22" s="69" t="str">
        <x:v>稳定化与验收同一1.2.0候选；未发布前修复不另开1.2.1，正式后修复才补丁</x:v>
      </x:c>
    </x:row>
    <x:row r="23" ht="64" customHeight="1">
      <x:c r="A23" s="61" t="str">
        <x:v>WF-003</x:v>
      </x:c>
      <x:c r="B23" s="61" t="str">
        <x:v>版本与阶段验收治理</x:v>
      </x:c>
      <x:c r="C23" s="61" t="str">
        <x:v>能理解升版并分阶段检查</x:v>
      </x:c>
      <x:c r="D23" s="61" t="str">
        <x:v>已完成</x:v>
      </x:c>
      <x:c r="E23" s="61" t="str">
        <x:v>P0</x:v>
      </x:c>
      <x:c r="F23" s="61" t="str">
        <x:v>WF-002</x:v>
      </x:c>
      <x:c r="G23" s="61" t="n">
        <x:v>0</x:v>
      </x:c>
      <x:c r="H23" s="61" t="n">
        <x:v>0</x:v>
      </x:c>
      <x:c r="I23" s="61" t="str">
        <x:v>区分工作包、App版本、里程碑和核心MVP</x:v>
      </x:c>
      <x:c r="J23" s="61" t="str">
        <x:v>升版触发/耦合理由；阶段检查表；MVP备份门槛；历史保留</x:v>
      </x:c>
      <x:c r="K23" s="61" t="str">
        <x:v>阶段覆盖/产品目标/依赖/估算/公式重算、历史保护、23项流程回归和四表视觉通过；只规划，业务/设备未实施。</x:v>
      </x:c>
      <x:c r="L23" s="61" t="str">
        <x:v>仅规划修订，不改业务/身份/工具链/数据/设备</x:v>
      </x:c>
      <x:c r="M23" s="61" t="str">
        <x:v>规划/指导/流程校验</x:v>
      </x:c>
      <x:c r="N23" s="61"/>
      <x:c r="O23" s="70"/>
      <x:c r="P23" s="70"/>
      <x:c r="Q23" s="70"/>
    </x:row>
    <x:row r="24" ht="80" customHeight="1">
      <x:c r="A24" s="10" t="str">
        <x:v>WF-004</x:v>
      </x:c>
      <x:c r="B24" s="10" t="str">
        <x:v>双备份与提交追溯</x:v>
      </x:c>
      <x:c r="C24" s="10" t="str">
        <x:v>数据两处可核验、每提交远端留档</x:v>
      </x:c>
      <x:c r="D24" s="10" t="str">
        <x:v>已完成</x:v>
      </x:c>
      <x:c r="E24" s="10" t="str">
        <x:v>P0</x:v>
      </x:c>
      <x:c r="F24" s="10" t="str">
        <x:v>WF-003</x:v>
      </x:c>
      <x:c r="G24" s="10" t="n">
        <x:v>0</x:v>
      </x:c>
      <x:c r="H24" s="10" t="n">
        <x:v>0</x:v>
      </x:c>
      <x:c r="I24" s="10" t="str">
        <x:v>核验E/NAS备份并固定每提交推送</x:v>
      </x:c>
      <x:c r="J24" s="10" t="str">
        <x:v>既有快照核验/复制NAS；提交与推送hooks；指导/四表；建立首个规划Git基线</x:v>
      </x:c>
      <x:c r="K24" s="10" t="str">
        <x:v>E/NAS12文件与两库核验；23流程+5提交追溯检查；首个规划提交已上传且远端一致；四表视觉/历史通过。</x:v>
      </x:c>
      <x:c r="L24" s="10" t="str">
        <x:v>不改App/身份/真实数据；用户确认未改后不重做手机备份；不发Release/tag/APK</x:v>
      </x:c>
      <x:c r="M24" s="10" t="str">
        <x:v>文档/脚本/hooks/规划</x:v>
      </x:c>
      <x:c r="N24" s="10"/>
      <x:c r="O24" s="10"/>
      <x:c r="P24" s="10"/>
      <x:c r="Q24" s="10"/>
    </x:row>
    <x:row r="25" ht="80" customHeight="1">
      <x:c r="A25" s="10" t="str">
        <x:v>WF-005</x:v>
      </x:c>
      <x:c r="B25" s="10" t="str">
        <x:v>仓库首页说明重写</x:v>
      </x:c>
      <x:c r="C25" s="10" t="str">
        <x:v>浏览者能理解定位与真实进度</x:v>
      </x:c>
      <x:c r="D25" s="10" t="str">
        <x:v>已完成</x:v>
      </x:c>
      <x:c r="E25" s="10" t="str">
        <x:v>P0</x:v>
      </x:c>
      <x:c r="F25" s="10" t="str">
        <x:v>WF-004</x:v>
      </x:c>
      <x:c r="G25" s="10" t="n">
        <x:v>0</x:v>
      </x:c>
      <x:c r="H25" s="10" t="n">
        <x:v>0</x:v>
      </x:c>
      <x:c r="I25" s="10" t="str">
        <x:v>重写README并核对GitHub首页入口</x:v>
      </x:c>
      <x:c r="J25" s="10" t="str">
        <x:v>项目定位、现状/MVP摘要、开发入口与上游许可；默认分支显示方案待选择</x:v>
      </x:c>
      <x:c r="K25" s="10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25" s="10" t="str">
        <x:v>只改文档与规划；不改App/数据/身份/发布制品；不强推历史</x:v>
      </x:c>
      <x:c r="M25" s="10" t="str">
        <x:v>README/开发约定/规划/仓库首页</x:v>
      </x:c>
      <x:c r="N25" s="10"/>
      <x:c r="O25" s="10"/>
      <x:c r="P25" s="10"/>
      <x:c r="Q25" s="10"/>
    </x:row>
    <x:row r="26" ht="30" customHeight="1">
      <x:c r="A26" s="71" t="str">
        <x:v>阶段检查表 · 先看M0–M5，细节看上方工作包</x:v>
      </x:c>
    </x:row>
    <x:row r="27" ht="28" customHeight="1">
      <x:c r="A27" t="str">
        <x:v>各段先交隔离环境的可操作结果和证据，再由用户复核；设备未授权时保留“待实机”。阶段通过不会自动触发发布或推进全部开发。</x:v>
      </x:c>
    </x:row>
    <x:row r="28" ht="34" customHeight="1">
      <x:c r="A28" s="68" t="str">
        <x:v>里程碑</x:v>
      </x:c>
      <x:c r="B28" s="68" t="str">
        <x:v>检查点</x:v>
      </x:c>
      <x:c r="C28" s="68" t="str">
        <x:v>包含工作包</x:v>
      </x:c>
      <x:c r="D28" s="68" t="str">
        <x:v>当前状态</x:v>
      </x:c>
      <x:c r="E28" s="68" t="str">
        <x:v>App目标版本</x:v>
      </x:c>
      <x:c r="F28" s="68" t="str">
        <x:v>你检查的场景</x:v>
      </x:c>
      <x:c r="G28" s="68" t="str">
        <x:v>本段人日</x:v>
      </x:c>
      <x:c r="H28" s="68" t="str">
        <x:v>累计人日</x:v>
      </x:c>
      <x:c r="I28" s="68" t="str">
        <x:v>需交付的验收材料</x:v>
      </x:c>
      <x:c r="J28" s="68" t="str">
        <x:v>检查方式</x:v>
      </x:c>
      <x:c r="K28" s="68" t="str">
        <x:v>实际结论 / 缺口</x:v>
      </x:c>
      <x:c r="L28" s="68" t="str">
        <x:v>进入下一阶段的条件</x:v>
      </x:c>
      <x:c r="M28" s="68" t="str">
        <x:v>前置里程碑</x:v>
      </x:c>
      <x:c r="N28" s="68" t="str">
        <x:v>阶段产物</x:v>
      </x:c>
    </x:row>
    <x:row r="29" ht="108" customHeight="1">
      <x:c r="A29" s="70" t="str">
        <x:v>M0</x:v>
      </x:c>
      <x:c r="B29" s="70" t="str">
        <x:v>工程与数据安全基础</x:v>
      </x:c>
      <x:c r="C29" s="70" t="str">
        <x:v>v1.1.0,v1.1.1,v1.1.2</x:v>
      </x:c>
      <x:c r="D29" s="70" t="str">
        <x:v>待开始</x:v>
      </x:c>
      <x:c r="E29" s="70" t="str">
        <x:v>工程候选</x:v>
      </x:c>
      <x:c r="F29" s="70" t="str">
        <x:v>重复构建、隔离全备份恢复；故障后原库不变</x:v>
      </x:c>
      <x:c r="G29" s="70" t="str">
        <x:f>SUM(G10:G12)&amp;"–"&amp;SUM(H10:H12)</x:f>
        <x:v>5–9</x:v>
      </x:c>
      <x:c r="H29" s="70" t="str">
        <x:f>SUM(G10:G12)&amp;"–"&amp;SUM(H10:H12)</x:f>
        <x:v>5–9</x:v>
      </x:c>
      <x:c r="I29" s="70" t="str">
        <x:v>环境/依赖锁、有效测试、两次构建记录、恢复/回滚/冷启动报告</x:v>
      </x:c>
      <x:c r="J29" s="70" t="str">
        <x:v>核对实际结果和产物；不以脚本存在判通过</x:v>
      </x:c>
      <x:c r="K29" s="70" t="str">
        <x:v>未实现；未检查</x:v>
      </x:c>
      <x:c r="L29" s="70" t="str">
        <x:v>基础验证通过才扩展业务；身份/SDK先裁决</x:v>
      </x:c>
      <x:c r="M29" s="70" t="str">
        <x:v>—</x:v>
      </x:c>
      <x:c r="N29" s="70" t="str">
        <x:v>可构建、可验证恢复的工程候选</x:v>
      </x:c>
    </x:row>
    <x:row r="30" ht="108" customHeight="1">
      <x:c r="A30" s="69" t="str">
        <x:v>M1</x:v>
      </x:c>
      <x:c r="B30" s="69" t="str">
        <x:v>Cheki记录预览</x:v>
      </x:c>
      <x:c r="C30" s="69" t="str">
        <x:v>v1.2.0,v1.2.1</x:v>
      </x:c>
      <x:c r="D30" s="69" t="str">
        <x:v>待开始</x:v>
      </x:c>
      <x:c r="E30" s="69" t="str">
        <x:v>0.1.0</x:v>
      </x:c>
      <x:c r="F30" s="69" t="str">
        <x:v>A3/B2/AB2实7参与9；三五寸分开；改状态不改总数</x:v>
      </x:c>
      <x:c r="G30" s="69" t="str">
        <x:f>SUM(G13:G15)&amp;"–"&amp;SUM(H13:H15)</x:f>
        <x:v>7–11</x:v>
      </x:c>
      <x:c r="H30" s="69" t="str">
        <x:f>SUM(G10:G15)&amp;"–"&amp;SUM(H10:H15)</x:f>
        <x:v>12–20</x:v>
      </x:c>
      <x:c r="I30" s="69" t="str">
        <x:v>隔离可操作候选/操作说明，日汇总/四桶前后表，当前模型备份恢复报告</x:v>
      </x:c>
      <x:c r="J30" s="69" t="str">
        <x:v>按合成场景实际操作；同时核对流水和统计</x:v>
      </x:c>
      <x:c r="K30" s="69" t="str">
        <x:v>未实现；未检查</x:v>
      </x:c>
      <x:c r="L30" s="69" t="str">
        <x:v>记录/身份/状态正确；只记切预览不称核心MVP</x:v>
      </x:c>
      <x:c r="M30" s="69" t="str">
        <x:v>M0</x:v>
      </x:c>
      <x:c r="N30" s="69" t="str">
        <x:v>可操作的仅记切预览</x:v>
      </x:c>
    </x:row>
    <x:row r="31" ht="108" customHeight="1">
      <x:c r="A31" s="70" t="str">
        <x:v>M2</x:v>
      </x:c>
      <x:c r="B31" s="70" t="str">
        <x:v>核心MVP（已选定）</x:v>
      </x:c>
      <x:c r="C31" s="70" t="str">
        <x:v>v1.3.0,v1.3.1,v1.3.2</x:v>
      </x:c>
      <x:c r="D31" s="70" t="str">
        <x:v>待开始</x:v>
      </x:c>
      <x:c r="E31" s="70" t="str">
        <x:v>1.0.0</x:v>
      </x:c>
      <x:c r="F31" s="70" t="str">
        <x:v>购券→多人登记扣券→状态→换/送→纠错→全库恢复</x:v>
      </x:c>
      <x:c r="G31" s="70" t="str">
        <x:f>SUM(G16:G18)&amp;"–"&amp;SUM(H16:H18)</x:f>
        <x:v>12–20</x:v>
      </x:c>
      <x:c r="H31" s="70" t="str">
        <x:f>SUM(G10:G18)&amp;"–"&amp;SUM(H10:H18)</x:f>
        <x:v>24–40</x:v>
      </x:c>
      <x:c r="I31" s="70" t="str">
        <x:v>可操作隔离候选、数量/成本前后表、失败/重复提交/纠错报告、全当前库+设置恢复证据</x:v>
      </x:c>
      <x:c r="J31" s="70" t="str">
        <x:v>逐项操作闭环；授权后可试用新记录；不自动迁旧历史</x:v>
      </x:c>
      <x:c r="K31" s="70" t="str">
        <x:v>未实现；未检查；用户已选MVP先行</x:v>
      </x:c>
      <x:c r="L31" s="70" t="str">
        <x:v>不负库存、不重复计数、FIFO/成本守恒、全模型恢复；缺一项继续整改</x:v>
      </x:c>
      <x:c r="M31" s="70" t="str">
        <x:v>M1</x:v>
      </x:c>
      <x:c r="N31" s="70" t="str">
        <x:v>Cheki+券的最小安全使用闭环，尚无完整BI/批量迁移</x:v>
      </x:c>
    </x:row>
    <x:row r="32" ht="108" customHeight="1">
      <x:c r="A32" s="69" t="str">
        <x:v>M3</x:v>
      </x:c>
      <x:c r="B32" s="69" t="str">
        <x:v>BI分析闭环</x:v>
      </x:c>
      <x:c r="C32" s="69" t="str">
        <x:v>v1.4.0</x:v>
      </x:c>
      <x:c r="D32" s="69" t="str">
        <x:v>待开始</x:v>
      </x:c>
      <x:c r="E32" s="69" t="str">
        <x:v>1.1.0</x:v>
      </x:c>
      <x:c r="F32" s="69" t="str">
        <x:v>过滤后7/9口径和占比正确；表/图/导出结果一致</x:v>
      </x:c>
      <x:c r="G32" s="69" t="str">
        <x:f>SUM(G19:G19)&amp;"–"&amp;SUM(H19:H19)</x:f>
        <x:v>4–6</x:v>
      </x:c>
      <x:c r="H32" s="69" t="str">
        <x:f>SUM(G10:G19)&amp;"–"&amp;SUM(H10:H19)</x:f>
        <x:v>28–46</x:v>
      </x:c>
      <x:c r="I32" s="69" t="str">
        <x:v>同一合成数据集的指标/明细/表图/CSV；空分母、重叠属性及期间存量报告</x:v>
      </x:c>
      <x:c r="J32" s="69" t="str">
        <x:v>用户从筛选入口操作并对账；不是只看截图</x:v>
      </x:c>
      <x:c r="K32" s="69" t="str">
        <x:v>未实现；未检查</x:v>
      </x:c>
      <x:c r="L32" s="69" t="str">
        <x:v>数量/分母/金额口径解释清楚且一致；累计待验保留</x:v>
      </x:c>
      <x:c r="M32" s="69" t="str">
        <x:v>M2</x:v>
      </x:c>
      <x:c r="N32" s="69" t="str">
        <x:v>完整BI候选</x:v>
      </x:c>
    </x:row>
    <x:row r="33" ht="108" customHeight="1">
      <x:c r="A33" s="70" t="str">
        <x:v>M4</x:v>
      </x:c>
      <x:c r="B33" s="70" t="str">
        <x:v>完整V0.2功能候选</x:v>
      </x:c>
      <x:c r="C33" s="70" t="str">
        <x:v>v1.4.1,v1.5.0</x:v>
      </x:c>
      <x:c r="D33" s="70" t="str">
        <x:v>待开始</x:v>
      </x:c>
      <x:c r="E33" s="70" t="str">
        <x:v>1.2.0</x:v>
      </x:c>
      <x:c r="F33" s="70" t="str">
        <x:v>CSV预检/重复/快照；旧记录映射预览；往返不丢字段</x:v>
      </x:c>
      <x:c r="G33" s="70" t="str">
        <x:f>SUM(G20:G21)&amp;"–"&amp;SUM(H20:H21)</x:f>
        <x:v>7–12</x:v>
      </x:c>
      <x:c r="H33" s="70" t="str">
        <x:f>SUM(G10:G21)&amp;"–"&amp;SUM(H10:H21)</x:f>
        <x:v>35–58</x:v>
      </x:c>
      <x:c r="I33" s="70" t="str">
        <x:v>模板/错误与预览、整批失败回滚、全业务往返、旧ID/ext/未知值与差异报告</x:v>
      </x:c>
      <x:c r="J33" s="70" t="str">
        <x:v>合成/隔离副本先验；真实映射和导入另明确范围</x:v>
      </x:c>
      <x:c r="K33" s="70" t="str">
        <x:v>未实现；未检查</x:v>
      </x:c>
      <x:c r="L33" s="70" t="str">
        <x:v>M3及数据携带均完成；42项核心覆盖无遗漏；旧事实不编造</x:v>
      </x:c>
      <x:c r="M33" s="70" t="str">
        <x:v>M2,M3</x:v>
      </x:c>
      <x:c r="N33" s="70" t="str">
        <x:v>完整功能RC；真实迁移可能仍待授权</x:v>
      </x:c>
    </x:row>
    <x:row r="34" ht="108" customHeight="1">
      <x:c r="A34" s="69" t="str">
        <x:v>M5</x:v>
      </x:c>
      <x:c r="B34" s="69" t="str">
        <x:v>正式日用验收</x:v>
      </x:c>
      <x:c r="C34" s="69" t="str">
        <x:v>v1.5.1</x:v>
      </x:c>
      <x:c r="D34" s="69" t="str">
        <x:v>待开始</x:v>
      </x:c>
      <x:c r="E34" s="69" t="str">
        <x:v>1.2.0</x:v>
      </x:c>
      <x:c r="F34" s="69" t="str">
        <x:v>最新候选升级、真实数据核对、正常交互、冷启动与恢复</x:v>
      </x:c>
      <x:c r="G34" s="69" t="str">
        <x:f>SUM(G22:G22)&amp;"–"&amp;SUM(H22:H22)</x:f>
        <x:v>2–4</x:v>
      </x:c>
      <x:c r="H34" s="69" t="str">
        <x:f>SUM(G10:G22)&amp;"–"&amp;SUM(H10:H22)</x:f>
        <x:v>37–62</x:v>
      </x:c>
      <x:c r="I34" s="69" t="str">
        <x:v>候选/签名/安装/数据核对/交互/冷启动/恢复和真实日用分别记录；未验列表</x:v>
      </x:c>
      <x:c r="J34" s="69" t="str">
        <x:v>需本轮设备范围；日用窗口开始前约定；不在真库造测试记录</x:v>
      </x:c>
      <x:c r="K34" s="69" t="str">
        <x:v>未实现；未检查</x:v>
      </x:c>
      <x:c r="L34" s="69" t="str">
        <x:v>真实证据与阻塞问题收敛后标日用完成；未验/仅安装不算通过</x:v>
      </x:c>
      <x:c r="M34" s="69" t="str">
        <x:v>M4</x:v>
      </x:c>
      <x:c r="N34" s="69" t="str">
        <x:v>已完成日用验收的1.2.0；稳定化不凭空升补丁号</x:v>
      </x:c>
    </x:row>
    <x:row r="35">
      <x:c r="A35" t="str">
        <x:v>补充设计工作包 · 不改变业务工作包与里程碑范围</x:v>
      </x:c>
    </x:row>
    <x:row r="36" ht="100" customHeight="1">
      <x:c r="A36" s="10" t="str">
        <x:v>WF-006</x:v>
      </x:c>
      <x:c r="B36" s="10" t="str">
        <x:v>UI风格与页面方案</x:v>
      </x:c>
      <x:c r="C36" s="10" t="str">
        <x:v>明确极简浅蓝浅粉界面及操作层级</x:v>
      </x:c>
      <x:c r="D36" s="10" t="str">
        <x:v>已完成</x:v>
      </x:c>
      <x:c r="E36" s="10" t="str">
        <x:v>P0</x:v>
      </x:c>
      <x:c r="F36" s="10" t="str">
        <x:v>WF-005</x:v>
      </x:c>
      <x:c r="G36" s="10" t="n">
        <x:v>0</x:v>
      </x:c>
      <x:c r="H36" s="10" t="n">
        <x:v>0</x:v>
      </x:c>
      <x:c r="I36" s="10" t="str">
        <x:v>参考SalaryFlow明确Cheki与券管理UI</x:v>
      </x:c>
      <x:c r="J36" s="10" t="str">
        <x:v>UI规范、可点击四页及登记/管理原型；浅蓝浅粉拼色；开发入口与四表同步</x:v>
      </x:c>
      <x:c r="K36" s="10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36" s="10" t="str">
        <x:v>只交设计与演示；不改Flutter业务/身份/工具链/真库/设备；布局提案待用户复核</x:v>
      </x:c>
      <x:c r="M36" s="10" t="str">
        <x:v>UI文档/原型/开发约定/规划</x:v>
      </x:c>
      <x:c r="N36" s="10"/>
      <x:c r="O36" s="10"/>
      <x:c r="P36" s="10"/>
      <x:c r="Q36" s="10" t="str">
        <x:v>仅明确视觉与交互，产品能力未实施，不触发App升版</x:v>
      </x:c>
    </x:row>
    <x:row r="37" ht="195" customHeight="1">
      <x:c r="A37" s="10" t="str">
        <x:v>WF-007</x:v>
      </x:c>
      <x:c r="B37" s="10" t="str">
        <x:v>统计下钻与待处理整合</x:v>
      </x:c>
      <x:c r="C37" s="10" t="str">
        <x:v>成员平铺带团体标识，直接查每天张数与成员色</x:v>
      </x:c>
      <x:c r="D37" s="10" t="str">
        <x:v>已完成</x:v>
      </x:c>
      <x:c r="E37" s="10" t="str">
        <x:v>P0</x:v>
      </x:c>
      <x:c r="F37" s="10" t="str">
        <x:v>WF-006</x:v>
      </x:c>
      <x:c r="G37" s="10" t="n">
        <x:v>0</x:v>
      </x:c>
      <x:c r="H37" s="10" t="n">
        <x:v>0</x:v>
      </x:c>
      <x:c r="I37" s="10" t="str">
        <x:v>按用户反馈改统计结构与待处理入口</x:v>
      </x:c>
      <x:c r="J37" s="10" t="str">
        <x:v>成员平铺列表，团体只作姓名前缀/标签；点成员→每日→当天记录；取消重复口径切换；颜色设置联动；统一待处理按实物去重；规范/原型同步</x:v>
      </x:c>
      <x:c r="K37" s="10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37" s="10" t="str">
        <x:v>只改设计演示；保留独立完成/领取状态及原始需求；不改Flutter/真库/设备/身份/工具链</x:v>
      </x:c>
      <x:c r="M37" s="10" t="str">
        <x:v>UI规范/原型/设计图/规划</x:v>
      </x:c>
      <x:c r="N37" s="10"/>
      <x:c r="O37" s="10"/>
      <x:c r="P37" s="10"/>
      <x:c r="Q37" s="10" t="str">
        <x:v>用户评审修正独立设计包，无产品发布/版本升级</x:v>
      </x:c>
    </x:row>
  </x:sheetData>
  <x:mergeCells>
    <x:mergeCell ref="A5:H5"/>
    <x:mergeCell ref="A6:H6"/>
    <x:mergeCell ref="A35:M35"/>
  </x:mergeCells>
  <x:conditionalFormatting sqref="D8:D13">
    <x:cfRule type="containsText" dxfId="0" priority="1" operator="containsText" text="待"/>
  </x:conditionalFormatting>
  <x:conditionalFormatting sqref="D14:D22">
    <x:cfRule type="containsText" dxfId="2" priority="2" operator="containsText" text="待"/>
    <x:cfRule type="containsText" dxfId="5" priority="3" operator="containsText" text="待"/>
    <x:cfRule type="containsText" dxfId="8" priority="4" operator="containsText" text="待"/>
    <x:cfRule type="containsText" dxfId="11" priority="5" operator="containsText" text="待"/>
  </x:conditionalFormatting>
  <x:conditionalFormatting sqref="D29:D34">
    <x:cfRule type="containsText" dxfId="14" priority="6" operator="containsText" text="待"/>
  </x:conditionalFormatting>
  <x:dataValidations count="3">
    <x:dataValidation type="list" sqref="D8:D13">
      <x:formula1>"历史基线,进行中,待开发,待定,可选,已合并/不开发,已完成,本地完成/待实机,已安装/待验收"</x:formula1>
    </x:dataValidation>
    <x:dataValidation type="list" sqref="D14:D22">
      <x:formula1>"历史基线,进行中,待开发,待定,可选,已合并/不开发,已完成,本地完成/待实机,已安装/待验收"</x:formula1>
    </x:dataValidation>
    <x:dataValidation type="list" sqref="D29:D34">
      <x:formula1>"待开始,本地通过/待实机,待用户复核,已验收,需整改"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待用户决定</x:v>
      </x:c>
      <x:c r="G9" s="10" t="str">
        <x:v>v1.1.0身份修改前</x:v>
      </x:c>
      <x:c r="H9" s="10" t="str">
        <x:v>原App私钥未取得；源码签名配置不等于拥有安装私钥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开放</x:v>
      </x:c>
      <x:c r="G14" s="11" t="str">
        <x:v>v1.1.0</x:v>
      </x:c>
      <x:c r="H14" s="11" t="str">
        <x:v>PATH检查；pubspec/gradle只读检查</x:v>
      </x:c>
      <x:c r="I14" s="11" t="str">
        <x:v>不能直接复用SalaryFlow的JDK21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开放</x:v>
      </x:c>
      <x:c r="G16" s="11" t="str">
        <x:v>v1.1.0</x:v>
      </x:c>
      <x:c r="H16" s="11" t="str">
        <x:v>test/widget_test.dart仍为模板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开放</x:v>
      </x:c>
      <x:c r="G17" s="10" t="str">
        <x:v>个人APK前</x:v>
      </x:c>
      <x:c r="H17" s="10" t="str">
        <x:v>lib/value/url.dart、设置页可见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待用户决定</x:v>
      </x:c>
      <x:c r="G22" s="57" t="str">
        <x:v>v1.2.1</x:v>
      </x:c>
      <x:c r="H22" s="57" t="str">
        <x:v>V0.2§5/6.5/16.2</x:v>
      </x:c>
      <x:c r="I22" s="57" t="str">
        <x:v>宿题不强制未完成；多人属性是否统一暂用同一记录定义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待开发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待开发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待开发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自然日不分场次</x:v>
      </x:c>
      <x:c r="C31" s="55" t="str">
        <x:v>V0.2 §4.2/15.5 → v1.2.1</x:v>
      </x:c>
      <x:c r="D31" s="55" t="str">
        <x:v>v1.2.1</x:v>
      </x:c>
      <x:c r="E31" s="55" t="str">
        <x:v>同日两场无需场次对象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64" customHeight="1">
      <x:c r="A33" s="55" t="str">
        <x:v>REQ-007</x:v>
      </x:c>
      <x:c r="B33" s="55" t="str">
        <x:v>带签与背签共存</x:v>
      </x:c>
      <x:c r="C33" s="55" t="str">
        <x:v>V0.2 §3.3/15.7 → v1.2.0,v1.2.1</x:v>
      </x:c>
      <x:c r="D33" s="55" t="str">
        <x:v>v1.2.0,v1.2.1</x:v>
      </x:c>
      <x:c r="E33" s="55" t="str">
        <x:v>签名维度/背签/宿题独立，宿题不决定完成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所有切独立完成/领取状态</x:v>
      </x:c>
      <x:c r="C35" s="55" t="str">
        <x:v>V0.2 §5/15.9 → v1.2.1</x:v>
      </x:c>
      <x:c r="D35" s="55" t="str">
        <x:v>v1.2.1</x:v>
      </x:c>
      <x:c r="E35" s="55" t="str">
        <x:v>四组合均可记录，不限宿题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</x:v>
      </x:c>
      <x:c r="C40" s="57" t="str">
        <x:v>V0.2 §7.2/15.14 → v1.3.0</x:v>
      </x:c>
      <x:c r="D40" s="57" t="str">
        <x:v>v1.3.0</x:v>
      </x:c>
      <x:c r="E40" s="57" t="str">
        <x:v>同名通用/个人券不合池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</x:v>
      </x:c>
      <x:c r="D41" s="55" t="str">
        <x:v>v1.3.0</x:v>
      </x:c>
      <x:c r="E41" s="55" t="str">
        <x:v>券种长期及多截止日可共存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BI日周月年全部</x:v>
      </x:c>
      <x:c r="C54" s="57" t="str">
        <x:v>V0.2 §12.2/15.28 → v1.4.0</x:v>
      </x:c>
      <x:c r="D54" s="57" t="str">
        <x:v>v1.4.0</x:v>
      </x:c>
      <x:c r="E54" s="57" t="str">
        <x:v>所选期间汇总及范围接口；日/周边界明确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数量桶部分转移/联合共享</x:v>
      </x:c>
      <x:c r="C58" s="57" t="str">
        <x:v>V0.2 §5.4/6.5 → v1.2.1</x:v>
      </x:c>
      <x:c r="D58" s="57" t="str">
        <x:v>v1.2.1</x:v>
      </x:c>
      <x:c r="E58" s="57" t="str">
        <x:v>5张的2/1/2桶选2转移，总5且AB同态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全操作流水、编辑撤销追溯</x:v>
      </x:c>
      <x:c r="C59" s="55" t="str">
        <x:v>V0.2 §4.3/11 → v1.3.2</x:v>
      </x:c>
      <x:c r="D59" s="55" t="str">
        <x:v>v1.3.2</x:v>
      </x:c>
      <x:c r="E59" s="55" t="str">
        <x:v>共享操作ID，保留原记录，依赖全链预览回滚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已规划/未实现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版本规划29–34行：按场景操作、前后对账、恢复/故障证据；D状态/K实际结论/L下一门槛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</x:sheetData>
  <x:pageMargins left="0.7" right="0.7" top="0.75" bottom="0.75" header="0.3" footer="0.3"/>
</x:worksheet>
</file>