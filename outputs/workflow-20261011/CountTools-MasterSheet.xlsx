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50e712a2644271" /></Relationships>
</file>

<file path=xl/workbook.xml><?xml version="1.0" encoding="utf-8"?>
<x:workbook xmlns:x="http://schemas.openxmlformats.org/spreadsheetml/2006/main">
  <x:sheets>
    <x:sheet xmlns:r="http://schemas.openxmlformats.org/officeDocument/2006/relationships" name="版本规划" sheetId="1" r:id="R77d244bed0794a6b"/>
    <x:sheet xmlns:r="http://schemas.openxmlformats.org/officeDocument/2006/relationships" name="Changelog" sheetId="2" r:id="R66ef0df155024127"/>
    <x:sheet xmlns:r="http://schemas.openxmlformats.org/officeDocument/2006/relationships" name="决策与风险" sheetId="3" r:id="R9a890da8636945ec"/>
    <x:sheet xmlns:r="http://schemas.openxmlformats.org/officeDocument/2006/relationships" name="执行约定" sheetId="4" r:id="R6e2eefae334e465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xf numFmtId="202" fontId="1" fillId="20" borderId="0" xfId="0" applyNumberFormat="1" applyFont="1" applyFill="1" applyBorder="1" applyAlignment="1">
      <x:alignment vertical="center" wrapText="1"/>
    </x:xf>
    <x:xf numFmtId="202" fontId="1" fillId="0" borderId="0" xfId="0" applyNumberFormat="1" applyFont="1" applyFill="1" applyBorder="1" applyAlignment="1">
      <x:alignment vertical="center"/>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29e2d3d33164f79" /><Relationship Type="http://schemas.openxmlformats.org/officeDocument/2006/relationships/theme" Target="/xl/theme/theme1.xml" Id="Rcce4ce2127c04b60" /><Relationship Type="http://schemas.openxmlformats.org/officeDocument/2006/relationships/sharedStrings" Target="/xl/sharedStrings.xml" Id="R3e9290ca076f4549" /><Relationship Type="http://schemas.openxmlformats.org/officeDocument/2006/relationships/worksheet" Target="/xl/worksheets/sheet1.xml" Id="R77d244bed0794a6b" /><Relationship Type="http://schemas.openxmlformats.org/officeDocument/2006/relationships/worksheet" Target="/xl/worksheets/sheet2.xml" Id="R66ef0df155024127" /><Relationship Type="http://schemas.openxmlformats.org/officeDocument/2006/relationships/worksheet" Target="/xl/worksheets/sheet3.xml" Id="R9a890da8636945ec" /><Relationship Type="http://schemas.openxmlformats.org/officeDocument/2006/relationships/worksheet" Target="/xl/worksheets/sheet4.xml" Id="R6e2eefae334e465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-26完整r7/M5/正式1.2.0-rc.13/15017本地与签名交付：总额15sp、五项时间单行及成员人数齐备。482全量/静态/17专项、完整恢复/生产审计和固定签名通过；23主线本地均完成，无下一批准可执行包；手机最近15016，唯一待安装15017，用户/Android/TalkBack/真实恢复/M5仍待，cheki-6实际PAUSED保持。</x:v>
      </x:c>
      <x:c r="C3" s="2"/>
      <x:c r="D3" s="2"/>
      <x:c r="E3" s="2"/>
      <x:c r="F3" s="2"/>
      <x:c r="G3" s="2"/>
      <x:c r="H3" s="2"/>
      <x:c r="I3" s="2"/>
      <x:c r="J3" s="2"/>
      <x:c r="K3" s="2"/>
      <x:c r="L3" s="2"/>
      <x:c r="M3" s="2"/>
      <x:c r="N3" s="2"/>
    </x:row>
    <x:row r="4">
      <x:c r="A4" s="2" t="str">
        <x:v>主线待开发数</x:v>
      </x:c>
      <x:c r="B4" s="2" t="n">
        <x:f>COUNTIFS(D8:D71,"待开发")</x:f>
        <x:v>0</x:v>
      </x:c>
      <x:c r="C4" s="2" t="str">
        <x:v>最少人日</x:v>
      </x:c>
      <x:c r="D4" s="138" t="n">
        <x:f>SUMIFS(G8:G71,D8:D71,"待开发")</x:f>
        <x:v>0</x:v>
      </x:c>
      <x:c r="E4" s="2" t="str">
        <x:v>最多人日</x:v>
      </x:c>
      <x:c r="F4" s="138" t="n">
        <x:f>SUMIFS(H8:H71,D8:D71,"待开发")</x:f>
        <x:v>0</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稳定化与正式日用验收（8包）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已安装/待验收</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350" customHeight="1">
      <x:c r="A54" s="75" t="str">
        <x:v>v1.5.1-r7</x:v>
      </x:c>
      <x:c r="B54" s="75" t="str">
        <x:v>统计摘要与单行时间fix</x:v>
      </x:c>
      <x:c r="C54" s="75" t="str">
        <x:v>总额字号和时间筛选精简，成员总张数后显示人数</x:v>
      </x:c>
      <x:c r="D54" s="75" t="str">
        <x:v>本地完成/待实机</x:v>
      </x:c>
      <x:c r="E54" s="75" t="str">
        <x:v>P1</x:v>
      </x:c>
      <x:c r="F54" s="75" t="str">
        <x:v>v1.5.1-r6</x:v>
      </x:c>
      <x:c r="G54" s="137" t="n">
        <x:v>0.5</x:v>
      </x:c>
      <x:c r="H54" s="137" t="n">
        <x:v>1</x:v>
      </x:c>
      <x:c r="I54" s="75" t="str">
        <x:v>先共享总额字号和可见时间选项，再单行横滑及全日期/筛选消费者验证；同源筛选人数/Person去重后接成员摘要，并覆盖筛选/未知/多人及大字</x:v>
      </x:c>
      <x:c r="J54" s="75" t="str">
        <x:v>总花费字号对齐成员参与说明的15sp/bodyMedium尺寸及文字缩放，原字重/颜色/金额/位置保持；去可见日，仅今日/周/月/年/所有单行，不足横滑不缩字；保留底层日查询/历史日历/前后日/筛选与管理同源。见BI_TYPE_PERIOD_FIX_20261026.md；成员模式顶部总数显示xx张 · 共n人；按当前筛选内出现的已知成员及手动Person关联去重，不按姓名或整个成员库计数；已知成员张数未知仍计人，未知成员不造人，空结果0人；原总张数/参与数/比例及费用模式不改</x:v>
      </x:c>
      <x:c r="K54" s="75" t="str">
        <x:v>仅记录评估排期，无业务/新APK。待验：两费用模式及管理/成员日页总额字号与说明一致，200%；时间五项同一行/横滑全可达、无日、今日跨上海午夜/历史日历及前后日/月年周所有、筛选/返回/CSV与原库保持；完整静态/自动/审计/正式签名；人数验收：AB多人合影2张→2张共2人，同人两身份→1人，同名未关联→2人，未知成员不造人、已知成员未知张数仍1人，空结果0人；日期/成员/团体及更多筛选同步；320–430/200%紧随总张数可读不溢出；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L54" s="75" t="str">
        <x:v>15016已装/完整数据保持，功能/Android/TalkBack/真实恢复/M5仍待；历史日不把今日假标选中、以范围标题明确，待体验检查。仅规划，PAUSED不恢复；直接开发或明确恢复后先完整r7；人数位置明确；已知成员按Person去重为沿现聚合的可逆展示口径待体验检查，不阻明确工作，不写身份/历史；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M54" s="75" t="str">
        <x:v>bi_page/spending_panel及共用字号与必要兼容消费者、Widget/日期测试、BI/UI文档；无schema/历史日期金额库存迁移；复用bi_query过滤聚合，必要只读人数getter及成员摘要Widget/统计测试</x:v>
      </x:c>
      <x:c r="N54" s="131" t="n">
        <x:v>15017</x:v>
      </x:c>
      <x:c r="O54" s="132" t="str">
        <x:v>1.2.0</x:v>
      </x:c>
      <x:c r="P54" s="132" t="str">
        <x:v>M5</x:v>
      </x:c>
      <x:c r="Q54" s="75" t="str">
        <x:v>已交统计UI两项日用修订合包，产品1.2.0未正式发布，拟rc.13/code&gt;=15017仅计划无APK，不另造1.2.1</x:v>
      </x:c>
    </x:row>
    <x:row r="55" ht="40" customHeight="1">
      <x:c r="A55" s="82" t="str">
        <x:v>里程碑</x:v>
      </x:c>
      <x:c r="B55" s="82" t="str">
        <x:v>检查点</x:v>
      </x:c>
      <x:c r="C55" s="82" t="str">
        <x:v>包含工作包</x:v>
      </x:c>
      <x:c r="D55" s="82" t="str">
        <x:v>当前状态</x:v>
      </x:c>
      <x:c r="E55" s="82" t="str">
        <x:v>App目标版本</x:v>
      </x:c>
      <x:c r="F55" s="82" t="str">
        <x:v>你检查的场景</x:v>
      </x:c>
      <x:c r="G55" s="82" t="str">
        <x:v>本段人日</x:v>
      </x:c>
      <x:c r="H55" s="82" t="str">
        <x:v>累计人日</x:v>
      </x:c>
      <x:c r="I55" s="82" t="str">
        <x:v>需交付的验收材料</x:v>
      </x:c>
      <x:c r="J55" s="82" t="str">
        <x:v>检查方式</x:v>
      </x:c>
      <x:c r="K55" s="82" t="str">
        <x:v>实际结论 / 缺口</x:v>
      </x:c>
      <x:c r="L55" s="82" t="str">
        <x:v>进入下一阶段的条件</x:v>
      </x:c>
      <x:c r="M55" s="82" t="str">
        <x:v>前置里程碑</x:v>
      </x:c>
      <x:c r="N55" s="82" t="str">
        <x:v>阶段产物</x:v>
      </x:c>
      <x:c r="O55" s="82"/>
      <x:c r="P55" s="82"/>
      <x:c r="Q55" s="82"/>
    </x:row>
    <x:row r="56" ht="240" customHeight="1">
      <x:c r="A56" s="84" t="str">
        <x:v>M5</x:v>
      </x:c>
      <x:c r="B56" s="83" t="str">
        <x:v>正式日用验收</x:v>
      </x:c>
      <x:c r="C56" s="83" t="str">
        <x:v>v1.5.1,v1.5.1-r1,v1.5.1-r2,v1.5.1-r3,v1.5.1-r4,v1.5.1-r5,v1.5.1-r6,v1.5.1-r7</x:v>
      </x:c>
      <x:c r="D56" s="83" t="str">
        <x:v>待用户复核</x:v>
      </x:c>
      <x:c r="E56" s="83" t="str">
        <x:v>1.2.0</x:v>
      </x:c>
      <x:c r="F56"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x:v>
      </x:c>
      <x:c r="G56" s="83" t="str">
        <x:v>21.5–37</x:v>
      </x:c>
      <x:c r="H56" s="83" t="str">
        <x:v>69.5–118</x:v>
      </x:c>
      <x:c r="I56"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x:v>
      </x:c>
      <x:c r="J56" s="83" t="str">
        <x:v>需本轮设备范围；日用窗口开始前约定；不在真库造测试记录</x:v>
      </x:c>
      <x:c r="K56"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L56"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M56" s="83" t="str">
        <x:v>M4</x:v>
      </x:c>
      <x:c r="N56" s="83" t="str">
        <x:v>已完成日用验收的1.2.0；稳定化不凭空升补丁号</x:v>
      </x:c>
      <x:c r="O56" s="83"/>
      <x:c r="P56" s="83"/>
      <x:c r="Q56" s="83"/>
    </x:row>
    <x:row r="57" ht="36" customHeight="1">
      <x:c r="A57" s="74" t="str">
        <x:v>流程 / 设计追溯 · 历史基线及已完成治理</x:v>
      </x:c>
      <x:c r="B57" s="74"/>
      <x:c r="C57" s="74"/>
      <x:c r="D57" s="74"/>
      <x:c r="E57" s="74"/>
      <x:c r="F57" s="74"/>
      <x:c r="G57" s="74"/>
      <x:c r="H57" s="74"/>
      <x:c r="I57" s="74" t="str">
        <x:v>非业务开发阶段；UI-FIX-001在M1前置区，避免重复记录</x:v>
      </x:c>
      <x:c r="J57" s="74"/>
      <x:c r="K57" s="74"/>
      <x:c r="L57" s="74"/>
      <x:c r="M57" s="74"/>
      <x:c r="N57" s="74"/>
      <x:c r="O57" s="74"/>
      <x:c r="P57" s="74"/>
      <x:c r="Q57" s="74"/>
    </x:row>
    <x:row r="58" ht="40" customHeight="1">
      <x:c r="A58" s="88" t="str">
        <x:v>工作包（历史ID）</x:v>
      </x:c>
      <x:c r="B58" s="88" t="str">
        <x:v>工作包名称</x:v>
      </x:c>
      <x:c r="C58" s="88" t="str">
        <x:v>用户收益</x:v>
      </x:c>
      <x:c r="D58" s="88" t="str">
        <x:v>状态</x:v>
      </x:c>
      <x:c r="E58" s="88" t="str">
        <x:v>优先级</x:v>
      </x:c>
      <x:c r="F58" s="88" t="str">
        <x:v>硬依赖工作包</x:v>
      </x:c>
      <x:c r="G58" s="88" t="str">
        <x:v>最少人日</x:v>
      </x:c>
      <x:c r="H58" s="88" t="str">
        <x:v>最多人日</x:v>
      </x:c>
      <x:c r="I58" s="88" t="str">
        <x:v>目标</x:v>
      </x:c>
      <x:c r="J58" s="88" t="str">
        <x:v>交付范围</x:v>
      </x:c>
      <x:c r="K58" s="88" t="str">
        <x:v>验收 / 已有证据</x:v>
      </x:c>
      <x:c r="L58" s="88" t="str">
        <x:v>门槛 / 未完成项</x:v>
      </x:c>
      <x:c r="M58" s="88" t="str">
        <x:v>影响范围</x:v>
      </x:c>
      <x:c r="N58" s="88" t="str">
        <x:v>候选code下界</x:v>
      </x:c>
      <x:c r="O58" s="88" t="str">
        <x:v>App目标版本</x:v>
      </x:c>
      <x:c r="P58" s="88" t="str">
        <x:v>所属里程碑</x:v>
      </x:c>
      <x:c r="Q58" s="88" t="str">
        <x:v>拆分 / 升版理由</x:v>
      </x:c>
    </x:row>
    <x:row r="59" ht="200" customHeight="1">
      <x:c r="A59" s="53" t="str">
        <x:v>BASE-UPSTREAM</x:v>
      </x:c>
      <x:c r="B59" s="53" t="str">
        <x:v>来源基线</x:v>
      </x:c>
      <x:c r="C59" s="53" t="str">
        <x:v>保留来源与旧数据语义</x:v>
      </x:c>
      <x:c r="D59" s="53" t="str">
        <x:v>历史基线</x:v>
      </x:c>
      <x:c r="E59" s="53" t="str">
        <x:v>P0</x:v>
      </x:c>
      <x:c r="F59" s="53"/>
      <x:c r="G59" s="59" t="n">
        <x:v>0</x:v>
      </x:c>
      <x:c r="H59" s="59" t="n">
        <x:v>0</x:v>
      </x:c>
      <x:c r="I59" s="53" t="str">
        <x:v>固定本地上游起点</x:v>
      </x:c>
      <x:c r="J59" s="53" t="str">
        <x:v>baseline/upstream；Apache-2.0；个人fork</x:v>
      </x:c>
      <x:c r="K59" s="53" t="str">
        <x:v>源码已克隆；旧App全库导出已完成</x:v>
      </x:c>
      <x:c r="L59" s="53" t="str">
        <x:v>源码与安装APK未证明精确对应</x:v>
      </x:c>
      <x:c r="M59" s="53" t="str">
        <x:v>全仓库</x:v>
      </x:c>
      <x:c r="N59" s="129"/>
      <x:c r="O59" s="130"/>
      <x:c r="P59" s="130"/>
      <x:c r="Q59" s="53"/>
    </x:row>
    <x:row r="60" ht="200" customHeight="1">
      <x:c r="A60" s="75" t="str">
        <x:v>WF-001</x:v>
      </x:c>
      <x:c r="B60" s="75" t="str">
        <x:v>流程建立</x:v>
      </x:c>
      <x:c r="C60" s="75" t="str">
        <x:v>可连续使用的个人开发流程</x:v>
      </x:c>
      <x:c r="D60" s="75" t="str">
        <x:v>已完成</x:v>
      </x:c>
      <x:c r="E60" s="75" t="str">
        <x:v>P0</x:v>
      </x:c>
      <x:c r="F60" s="75" t="str">
        <x:v>BASE-UPSTREAM</x:v>
      </x:c>
      <x:c r="G60" s="77" t="n">
        <x:v>0</x:v>
      </x:c>
      <x:c r="H60" s="77" t="n">
        <x:v>0</x:v>
      </x:c>
      <x:c r="I60" s="75" t="str">
        <x:v>参考SalaryFlow并按Flutter适配</x:v>
      </x:c>
      <x:c r="J60" s="75" t="str">
        <x:v>四表、AGENTS、指导md、检查脚本、独立分支</x:v>
      </x:c>
      <x:c r="K60" s="75" t="str">
        <x:v>文档/规划结构、负例/历史保护、脚本、只读库和视觉复核通过；未构建产品。</x:v>
      </x:c>
      <x:c r="L60" s="75" t="str">
        <x:v>不改业务/身份/签名/工具链，不连接设备</x:v>
      </x:c>
      <x:c r="M60" s="75" t="str">
        <x:v>文档/脚本/CI</x:v>
      </x:c>
      <x:c r="N60" s="131"/>
      <x:c r="O60" s="132"/>
      <x:c r="P60" s="132"/>
      <x:c r="Q60" s="75"/>
    </x:row>
    <x:row r="61" ht="200" customHeight="1">
      <x:c r="A61" s="53" t="str">
        <x:v>WF-002</x:v>
      </x:c>
      <x:c r="B61" s="53" t="str">
        <x:v>需求评估与规划</x:v>
      </x:c>
      <x:c r="C61" s="53" t="str">
        <x:v>可评审的Cheki/券管理路线</x:v>
      </x:c>
      <x:c r="D61" s="53" t="str">
        <x:v>已完成</x:v>
      </x:c>
      <x:c r="E61" s="53" t="str">
        <x:v>P0</x:v>
      </x:c>
      <x:c r="F61" s="53" t="str">
        <x:v>WF-001</x:v>
      </x:c>
      <x:c r="G61" s="59" t="n">
        <x:v>0</x:v>
      </x:c>
      <x:c r="H61" s="59" t="n">
        <x:v>0</x:v>
      </x:c>
      <x:c r="I61" s="53" t="str">
        <x:v>评估暂定V0.2并建立需求覆盖与版本路线</x:v>
      </x:c>
      <x:c r="J61" s="53" t="str">
        <x:v>需求原文、差距/初步设计、四表规划与历史保护</x:v>
      </x:c>
      <x:c r="K61" s="53" t="str">
        <x:v>42项覆盖、12开发版/依赖/估算、历史保护、19项流程回归及四表视觉复核通过；仅规划交付，未产品构建。</x:v>
      </x:c>
      <x:c r="L61" s="53" t="str">
        <x:v>本轮仅规划；实施前确认相依决定；不连接手机</x:v>
      </x:c>
      <x:c r="M61" s="53" t="str">
        <x:v>规划/文档/流程检查</x:v>
      </x:c>
      <x:c r="N61" s="129"/>
      <x:c r="O61" s="130"/>
      <x:c r="P61" s="130"/>
      <x:c r="Q61" s="53"/>
    </x:row>
    <x:row r="62" ht="200" customHeight="1">
      <x:c r="A62" s="75" t="str">
        <x:v>WF-003</x:v>
      </x:c>
      <x:c r="B62" s="75" t="str">
        <x:v>版本与阶段验收治理</x:v>
      </x:c>
      <x:c r="C62" s="75" t="str">
        <x:v>能理解升版并分阶段检查</x:v>
      </x:c>
      <x:c r="D62" s="75" t="str">
        <x:v>已完成</x:v>
      </x:c>
      <x:c r="E62" s="75" t="str">
        <x:v>P0</x:v>
      </x:c>
      <x:c r="F62" s="75" t="str">
        <x:v>WF-002</x:v>
      </x:c>
      <x:c r="G62" s="77" t="n">
        <x:v>0</x:v>
      </x:c>
      <x:c r="H62" s="77" t="n">
        <x:v>0</x:v>
      </x:c>
      <x:c r="I62" s="75" t="str">
        <x:v>区分工作包、App版本、里程碑和核心MVP</x:v>
      </x:c>
      <x:c r="J62" s="75" t="str">
        <x:v>升版触发/耦合理由；阶段检查表；MVP备份门槛；历史保留</x:v>
      </x:c>
      <x:c r="K62" s="75" t="str">
        <x:v>阶段覆盖/产品目标/依赖/估算/公式重算、历史保护、23项流程回归和四表视觉通过；只规划，业务/设备未实施。</x:v>
      </x:c>
      <x:c r="L62" s="75" t="str">
        <x:v>仅规划修订，不改业务/身份/工具链/数据/设备</x:v>
      </x:c>
      <x:c r="M62" s="75" t="str">
        <x:v>规划/指导/流程校验</x:v>
      </x:c>
      <x:c r="N62" s="131"/>
      <x:c r="O62" s="132"/>
      <x:c r="P62" s="132"/>
      <x:c r="Q62" s="75"/>
    </x:row>
    <x:row r="63" ht="200" customHeight="1">
      <x:c r="A63" s="53" t="str">
        <x:v>WF-004</x:v>
      </x:c>
      <x:c r="B63" s="53" t="str">
        <x:v>双备份与提交追溯</x:v>
      </x:c>
      <x:c r="C63" s="53" t="str">
        <x:v>数据两处可核验、每提交远端留档</x:v>
      </x:c>
      <x:c r="D63" s="53" t="str">
        <x:v>已完成</x:v>
      </x:c>
      <x:c r="E63" s="53" t="str">
        <x:v>P0</x:v>
      </x:c>
      <x:c r="F63" s="53" t="str">
        <x:v>WF-003</x:v>
      </x:c>
      <x:c r="G63" s="59" t="n">
        <x:v>0</x:v>
      </x:c>
      <x:c r="H63" s="59" t="n">
        <x:v>0</x:v>
      </x:c>
      <x:c r="I63" s="53" t="str">
        <x:v>核验E/NAS备份并固定每提交推送</x:v>
      </x:c>
      <x:c r="J63" s="53" t="str">
        <x:v>既有快照核验/复制NAS；提交与推送hooks；指导/四表；建立首个规划Git基线</x:v>
      </x:c>
      <x:c r="K63" s="53" t="str">
        <x:v>E/NAS12文件与两库核验；23流程+5提交追溯检查；首个规划提交已上传且远端一致；四表视觉/历史通过。</x:v>
      </x:c>
      <x:c r="L63" s="53" t="str">
        <x:v>不改App/身份/真实数据；用户确认未改后不重做手机备份；不发Release/tag/APK</x:v>
      </x:c>
      <x:c r="M63" s="53" t="str">
        <x:v>文档/脚本/hooks/规划</x:v>
      </x:c>
      <x:c r="N63" s="129"/>
      <x:c r="O63" s="130"/>
      <x:c r="P63" s="130"/>
      <x:c r="Q63" s="53"/>
    </x:row>
    <x:row r="64" ht="200" customHeight="1">
      <x:c r="A64" s="75" t="str">
        <x:v>WF-005</x:v>
      </x:c>
      <x:c r="B64" s="75" t="str">
        <x:v>仓库首页说明重写</x:v>
      </x:c>
      <x:c r="C64" s="75" t="str">
        <x:v>浏览者能理解定位与真实进度</x:v>
      </x:c>
      <x:c r="D64" s="75" t="str">
        <x:v>已完成</x:v>
      </x:c>
      <x:c r="E64" s="75" t="str">
        <x:v>P0</x:v>
      </x:c>
      <x:c r="F64" s="75" t="str">
        <x:v>WF-004</x:v>
      </x:c>
      <x:c r="G64" s="77" t="n">
        <x:v>0</x:v>
      </x:c>
      <x:c r="H64" s="77" t="n">
        <x:v>0</x:v>
      </x:c>
      <x:c r="I64" s="75" t="str">
        <x:v>重写README并核对GitHub首页入口</x:v>
      </x:c>
      <x:c r="J64" s="75" t="str">
        <x:v>项目定位、现状/MVP摘要、开发入口与上游许可；默认分支显示方案待选择</x:v>
      </x:c>
      <x:c r="K64" s="75" t="str">
        <x:v>README全部相对链接、状态/范围、规划历史通过；首个修正文档提交已上传且远端一致；按用户选择，GitHub默认分支已改为personal/customization；API与Git均确认，默认首页README与本地修正版一致</x:v>
      </x:c>
      <x:c r="L64" s="75" t="str">
        <x:v>只改文档与规划；不改App/数据/身份/发布制品；不强推历史</x:v>
      </x:c>
      <x:c r="M64" s="75" t="str">
        <x:v>README/开发约定/规划/仓库首页</x:v>
      </x:c>
      <x:c r="N64" s="131"/>
      <x:c r="O64" s="132"/>
      <x:c r="P64" s="132"/>
      <x:c r="Q64" s="75"/>
    </x:row>
    <x:row r="65" ht="200" customHeight="1">
      <x:c r="A65" s="53" t="str">
        <x:v>WF-006</x:v>
      </x:c>
      <x:c r="B65" s="53" t="str">
        <x:v>UI风格与页面方案</x:v>
      </x:c>
      <x:c r="C65" s="53" t="str">
        <x:v>明确极简浅蓝浅粉界面及操作层级</x:v>
      </x:c>
      <x:c r="D65" s="53" t="str">
        <x:v>已完成</x:v>
      </x:c>
      <x:c r="E65" s="53" t="str">
        <x:v>P0</x:v>
      </x:c>
      <x:c r="F65" s="53" t="str">
        <x:v>WF-005</x:v>
      </x:c>
      <x:c r="G65" s="59" t="n">
        <x:v>0</x:v>
      </x:c>
      <x:c r="H65" s="59" t="n">
        <x:v>0</x:v>
      </x:c>
      <x:c r="I65" s="53" t="str">
        <x:v>参考SalaryFlow明确Cheki与券管理UI</x:v>
      </x:c>
      <x:c r="J65" s="53" t="str">
        <x:v>UI规范、可点击四页及登记/管理原型；浅蓝浅粉拼色；开发入口与四表同步</x:v>
      </x:c>
      <x:c r="K65" s="53" t="str">
        <x:v>4页/320–430宽无横溢；筛选/详情/7与9口径/管理购券/分步登记/独立池差额阻止及零扣券核对通过；8组配色对比达标；设计提交已上传个人origin并核对；布局待用户复核，未产品构建/真机验收</x:v>
      </x:c>
      <x:c r="L65" s="53" t="str">
        <x:v>只交设计与演示；不改Flutter业务/身份/工具链/真库/设备；布局提案待用户复核</x:v>
      </x:c>
      <x:c r="M65" s="53" t="str">
        <x:v>UI文档/原型/开发约定/规划</x:v>
      </x:c>
      <x:c r="N65" s="129"/>
      <x:c r="O65" s="130"/>
      <x:c r="P65" s="130"/>
      <x:c r="Q65" s="53" t="str">
        <x:v>仅明确视觉与交互，产品能力未实施，不触发App升版</x:v>
      </x:c>
    </x:row>
    <x:row r="66" ht="200" customHeight="1">
      <x:c r="A66" s="75" t="str">
        <x:v>WF-007</x:v>
      </x:c>
      <x:c r="B66" s="75" t="str">
        <x:v>统计下钻与待处理整合</x:v>
      </x:c>
      <x:c r="C66" s="75" t="str">
        <x:v>成员平铺带团体标识，直接查每天张数与成员色</x:v>
      </x:c>
      <x:c r="D66" s="75" t="str">
        <x:v>已完成</x:v>
      </x:c>
      <x:c r="E66" s="75" t="str">
        <x:v>P0</x:v>
      </x:c>
      <x:c r="F66" s="75" t="str">
        <x:v>WF-006</x:v>
      </x:c>
      <x:c r="G66" s="77" t="n">
        <x:v>0</x:v>
      </x:c>
      <x:c r="H66" s="77" t="n">
        <x:v>0</x:v>
      </x:c>
      <x:c r="I66" s="75" t="str">
        <x:v>按用户反馈改统计结构与待处理入口</x:v>
      </x:c>
      <x:c r="J66" s="75" t="str">
        <x:v>成员平铺列表，团体只作姓名前缀/标签；点成员→每日→当天记录；取消重复口径切换；颜色设置联动；统一待处理按实物去重；规范/原型同步</x:v>
      </x:c>
      <x:c r="K66" s="75" t="str">
        <x:v>浏览器成员平铺4行/团体卡0；张数8/6/2/1、分母17；A日5/3、B日4/2、空日0；待处理去重4；改色条图/月历联动；320/390/430布局与独立池校验、JS/链接通过；原型提交已上传核对；未Flutter/真机验收</x:v>
      </x:c>
      <x:c r="L66" s="75" t="str">
        <x:v>只改设计演示；保留独立完成/领取状态及原始需求；不改Flutter/真库/设备/身份/工具链</x:v>
      </x:c>
      <x:c r="M66" s="75" t="str">
        <x:v>UI规范/原型/设计图/规划</x:v>
      </x:c>
      <x:c r="N66" s="131"/>
      <x:c r="O66" s="132"/>
      <x:c r="P66" s="132"/>
      <x:c r="Q66" s="75" t="str">
        <x:v>用户评审修正独立设计包，无产品发布/版本升级</x:v>
      </x:c>
    </x:row>
    <x:row r="67" ht="200" customHeight="1">
      <x:c r="A67" s="53" t="str">
        <x:v>WF-008</x:v>
      </x:c>
      <x:c r="B67" s="53" t="str">
        <x:v>时间范围、领取与记录编辑</x:v>
      </x:c>
      <x:c r="C67" s="53" t="str">
        <x:v>按事件统计，登记两页且可修改</x:v>
      </x:c>
      <x:c r="D67" s="53" t="str">
        <x:v>已完成</x:v>
      </x:c>
      <x:c r="E67" s="53" t="str">
        <x:v>P0</x:v>
      </x:c>
      <x:c r="F67" s="53" t="str">
        <x:v>WF-007</x:v>
      </x:c>
      <x:c r="G67" s="59" t="n">
        <x:v>0</x:v>
      </x:c>
      <x:c r="H67" s="59" t="n">
        <x:v>0</x:v>
      </x:c>
      <x:c r="I67" s="53" t="str">
        <x:v>按用户新规则修正交互和数据契约</x:v>
      </x:c>
      <x:c r="J67" s="53" t="str">
        <x:v>日/周/月/年/所有及时间选择；记录/核对两页；编辑发生时间与字段；删除完成状态；仅领取区分，未领时间空、实领填写；通用券团体前缀；规范/原型/规划同步</x:v>
      </x:c>
      <x:c r="K67"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7" s="53" t="str">
        <x:v>仅设计与合成演示；不改Flutter/真实数据/身份/工具链/设备/发布；旧完成事实留历史档案</x:v>
      </x:c>
      <x:c r="M67" s="53" t="str">
        <x:v>原型/交互/领域契约/需求覆盖/规划</x:v>
      </x:c>
      <x:c r="N67" s="129"/>
      <x:c r="O67" s="130"/>
      <x:c r="P67" s="130"/>
      <x:c r="Q67" s="53" t="str">
        <x:v>用户修改尚未实施的需求，设计包不触发App升版；基础与持久化另验</x:v>
      </x:c>
    </x:row>
    <x:row r="68" ht="240" customHeight="1">
      <x:c r="A68" s="75" t="str">
        <x:v>WF-009</x:v>
      </x:c>
      <x:c r="B68" s="75" t="str">
        <x:v>日期与快捷登记修订</x:v>
      </x:c>
      <x:c r="C68" s="75" t="str">
        <x:v>简洁词语和可扩展成员选择</x:v>
      </x:c>
      <x:c r="D68" s="75" t="str">
        <x:v>已完成</x:v>
      </x:c>
      <x:c r="E68" s="75" t="str">
        <x:v>P0</x:v>
      </x:c>
      <x:c r="F68" s="75" t="str">
        <x:v>WF-008</x:v>
      </x:c>
      <x:c r="G68" s="77" t="n">
        <x:v>0</x:v>
      </x:c>
      <x:c r="H68" s="77" t="n">
        <x:v>0</x:v>
      </x:c>
      <x:c r="I68" s="75" t="str">
        <x:v>按用户反馈修正日期粒度、成员与默认值</x:v>
      </x:c>
      <x:c r="J68" s="75" t="str">
        <x:v>去重复口径提示/实物术语；发生日期到天，录入动作留时间戳；下拉成员；带签/无签显式；领取三选默认已领；默认扣券；当前契约与规划同步</x:v>
      </x:c>
      <x:c r="K68"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8" s="75" t="str">
        <x:v>仅合成原型，不改Flutter/真库/身份/工具链/手机/发布；保留旧事实；初始已领采用允许的不设实际时间方案，偏好待复核</x:v>
      </x:c>
      <x:c r="M68" s="75" t="str">
        <x:v>UI原型/领域契约/需求/规划</x:v>
      </x:c>
      <x:c r="N68" s="131"/>
      <x:c r="O68" s="132"/>
      <x:c r="P68" s="132"/>
      <x:c r="Q68" s="75" t="str">
        <x:v>未发布设计修订，不触发App版本或里程碑通过</x:v>
      </x:c>
    </x:row>
    <x:row r="69" ht="240" customHeight="1">
      <x:c r="A69" s="53" t="str">
        <x:v>WF-010</x:v>
      </x:c>
      <x:c r="B69" s="53" t="str">
        <x:v>属性互斥与扣券明细</x:v>
      </x:c>
      <x:c r="C69" s="53" t="str">
        <x:v>明确勾选及背签条件，扣券直接可见</x:v>
      </x:c>
      <x:c r="D69" s="53" t="str">
        <x:v>已完成</x:v>
      </x:c>
      <x:c r="E69" s="53" t="str">
        <x:v>P0</x:v>
      </x:c>
      <x:c r="F69" s="53" t="str">
        <x:v>WF-009</x:v>
      </x:c>
      <x:c r="G69" s="59" t="n">
        <x:v>0</x:v>
      </x:c>
      <x:c r="H69" s="59" t="n">
        <x:v>0</x:v>
      </x:c>
      <x:c r="I69" s="53" t="str">
        <x:v>按用户反馈修正属性规则和明细可见性</x:v>
      </x:c>
      <x:c r="J69" s="53" t="str">
        <x:v>无签/有签/宿题勾选式三选一，默认有签；背签仅有签可用，切换清除；扣券明细常开无折叠；规范与相依范围同步</x:v>
      </x:c>
      <x:c r="K69"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69" s="53" t="str">
        <x:v>只改合成原型/规则/规划；不改Flutter/真库/手机/身份/工具链/发布；旧冲突属性不静默转换</x:v>
      </x:c>
      <x:c r="M69" s="53" t="str">
        <x:v>原型/UI/实体/记录/统计/规划</x:v>
      </x:c>
      <x:c r="N69" s="129"/>
      <x:c r="O69" s="130"/>
      <x:c r="P69" s="130"/>
      <x:c r="Q69" s="53" t="str">
        <x:v>未发布设计修订，不触发App升版或阶段通过</x:v>
      </x:c>
    </x:row>
    <x:row r="70" ht="230" customHeight="1">
      <x:c r="A70" s="75" t="str">
        <x:v>WF-011</x:v>
      </x:c>
      <x:c r="B70" s="75" t="str">
        <x:v>属性同行与UI实施定位</x:v>
      </x:c>
      <x:c r="C70" s="75" t="str">
        <x:v>知道每个页面何时落地和如何检查</x:v>
      </x:c>
      <x:c r="D70" s="75" t="str">
        <x:v>已完成</x:v>
      </x:c>
      <x:c r="E70" s="75" t="str">
        <x:v>P0</x:v>
      </x:c>
      <x:c r="F70" s="75" t="str">
        <x:v>WF-010</x:v>
      </x:c>
      <x:c r="G70" s="77" t="n">
        <x:v>0</x:v>
      </x:c>
      <x:c r="H70" s="77" t="n">
        <x:v>0</x:v>
      </x:c>
      <x:c r="I70" s="75" t="str">
        <x:v>把当前UI纳入真实开发范围和阶段门槛</x:v>
      </x:c>
      <x:c r="J70" s="75" t="str">
        <x:v>四属性同行，原互斥/依赖保留；UI-20261011-R1开发基线；主题/各页/管理/编辑映射现有相依包；阶段产物/验收/风险同步</x:v>
      </x:c>
      <x:c r="K70"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70" s="75" t="str">
        <x:v>只改原型/规范/规划；不改Flutter/数据/手机/身份/工具链/发布；不标业务或阶段完成</x:v>
      </x:c>
      <x:c r="M70" s="75" t="str">
        <x:v>UI/开发范围/阶段检查/四表</x:v>
      </x:c>
      <x:c r="N70" s="131"/>
      <x:c r="O70" s="132"/>
      <x:c r="P70" s="132"/>
      <x:c r="Q70" s="75" t="str">
        <x:v>规划澄清与原型小修，不新增产品版或主线工作包</x:v>
      </x:c>
    </x:row>
    <x:row r="71" ht="280" customHeight="1">
      <x:c r="A71" s="53" t="str">
        <x:v>WF-013</x:v>
      </x:c>
      <x:c r="B71" s="53" t="str">
        <x:v>阶段工作包与检查点同段</x:v>
      </x:c>
      <x:c r="C71" s="53" t="str">
        <x:v>清楚看到任务阶段归属及M1前数量</x:v>
      </x:c>
      <x:c r="D71" s="53" t="str">
        <x:v>已完成</x:v>
      </x:c>
      <x:c r="E71" s="53" t="str">
        <x:v>P0</x:v>
      </x:c>
      <x:c r="F71" s="53" t="str">
        <x:v>WF-012</x:v>
      </x:c>
      <x:c r="G71" s="59" t="n">
        <x:v>0</x:v>
      </x:c>
      <x:c r="H71" s="59" t="n">
        <x:v>0</x:v>
      </x:c>
      <x:c r="I71" s="53" t="str">
        <x:v>按阶段连续排列工作包与M检查点</x:v>
      </x:c>
      <x:c r="J71" s="53" t="str">
        <x:v>重排版本规划；M0–M5检查点紧随对应包；UI-FIX-001放M1前；读表指导与行号依赖检查适配</x:v>
      </x:c>
      <x:c r="K71"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1" s="53" t="str">
        <x:v>不改变业务范围/依赖/估算/产品目标/阶段状态，不操作App或设备</x:v>
      </x:c>
      <x:c r="M71" s="53" t="str">
        <x:v>规划展示/开发指导/流程校验</x:v>
      </x:c>
      <x:c r="N71" s="129"/>
      <x:c r="O71" s="130"/>
      <x:c r="P71" s="130"/>
      <x:c r="Q71"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7:H57"/>
    <x:mergeCell ref="I57:Q57"/>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3">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59">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70">
      <x:formula1>"历史基线,进行中,待开发,待定,可选,已合并/不开发,已完成,本地完成/待实机,已安装/待验收"</x:formula1>
    </x:dataValidation>
    <x:dataValidation type="list" sqref="D54">
      <x:formula1>"历史基线,进行中,待开发,待定,可选,已合并/不开发,已完成,本地完成/待实机,已安装/待验收"</x:formula1>
    </x:dataValidation>
    <x:dataValidation type="list" sqref="D56">
      <x:formula1>"待开始,本地通过/待实机,待用户复核,已验收,需整改"</x:formula1>
    </x:dataValidation>
    <x:dataValidation type="list" sqref="D71">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row r="71" ht="350" customHeight="1">
      <x:c r="A71" s="135" t="str">
        <x:v>ROUND-20261025-S25-UPGRADE-15016-01</x:v>
      </x:c>
      <x:c r="B71" s="136" t="n">
        <x:v>46320</x:v>
      </x:c>
      <x:c r="C71" s="135" t="str">
        <x:v>v1.5.1-r6</x:v>
      </x:c>
      <x:c r="D71" s="135" t="str">
        <x:v>S25原位覆盖15016</x:v>
      </x:c>
      <x:c r="E71" s="135" t="str">
        <x:v>用户明确覆盖安装；r6本地验证签名及提交上传已闭合</x:v>
      </x:c>
      <x:c r="F71" s="135" t="str">
        <x:v>刷新完整备份E/NAS核验、固定身份install-r、前后全部数据库设置附件对账与冷启动，最后只清理本轮临时文件</x:v>
      </x:c>
      <x:c r="G71" s="135" t="str">
        <x:v>不卸载/清数据/降级/编辑真实记录/恢复迁移，不改方向息屏、不恢复定时或新开发</x:v>
      </x:c>
      <x:c r="H71"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I71" s="135" t="str">
        <x:v>已完成</x:v>
      </x:c>
      <x:c r="J71"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K71" s="135" t="str">
        <x:v>安装/完整数据保持/双盘备份与清理证据及四表原值历史保护检查后，提交立即上传origin个人分支并核对；不把覆盖当功能阶段通过。</x:v>
      </x:c>
      <x:c r="L71" s="135" t="str">
        <x:v>仅本轮覆盖及必要双盘备份授权，定时PAUSED保持</x:v>
      </x:c>
    </x:row>
    <x:row r="72" ht="350" customHeight="1">
      <x:c r="A72" s="135" t="str">
        <x:v>ROUND-20261026-BI-TYPE-PERIOD-PLAN-01</x:v>
      </x:c>
      <x:c r="B72" s="136" t="n">
        <x:v>46321</x:v>
      </x:c>
      <x:c r="C72" s="135" t="str">
        <x:v>v1.5.1-r7</x:v>
      </x:c>
      <x:c r="D72" s="135" t="str">
        <x:v>总额字号/单行去日仅规划</x:v>
      </x:c>
      <x:c r="E72" s="135" t="str">
        <x:v>15016覆盖轮用户追加两条反馈，明确先排fix；仅问题记录评估排期</x:v>
      </x:c>
      <x:c r="F72" s="135" t="str">
        <x:v>检查expense-total的headlineLarge40sp与参与说明bodyMedium15sp差异、今日加遍历day重复及Wrap换行，规划共享字号/五项单行/历史日查询保留，下一唯一r7依赖r6</x:v>
      </x:c>
      <x:c r="G72" s="135" t="str">
        <x:v>不改Dart/配置/原型、不构建/再次安装/业务数据/设备NAS写入，不恢复PAUSED</x:v>
      </x:c>
      <x:c r="H72" s="135" t="str">
        <x:v>两项问题记录、源码分析及完整r7规划完成；唯一四表依赖/估算/M5旧行归档/决策风险、历史及原值/原生结构/规划视图校验通过。本轮仅规划，无业务或新APK。</x:v>
      </x:c>
      <x:c r="I72" s="135" t="str">
        <x:v>已完成</x:v>
      </x:c>
      <x:c r="J72" s="135" t="str">
        <x:v>历史日时今日不假选中，范围标题明确；大字单行横滑不缩字；15016已装、功能M5仍待</x:v>
      </x:c>
      <x:c r="K72" s="135" t="str">
        <x:v>规划及四表校验后commit-and-push立即上传origin个人分支并核对</x:v>
      </x:c>
      <x:c r="L72" s="135" t="str">
        <x:v>下一唯一r7仅规划，拟rc.13/15017无APK；直接开发或明确恢复后实施</x:v>
      </x:c>
    </x:row>
    <x:row r="73" ht="350" customHeight="1">
      <x:c r="A73" s="135" t="str">
        <x:v>ROUND-20261026-BI-MEMBER-COUNT-PLAN-01</x:v>
      </x:c>
      <x:c r="B73" s="136" t="n">
        <x:v>46321</x:v>
      </x:c>
      <x:c r="C73" s="135" t="str">
        <x:v>v1.5.1-r7</x:v>
      </x:c>
      <x:c r="D73" s="135" t="str">
        <x:v>成员总张数后追加人数仅规划</x:v>
      </x:c>
      <x:c r="E73" s="135" t="str">
        <x:v>用户普通反馈：统计成员界面总数xx张后写总共多少人；沿DEC066仅记录分析排期</x:v>
      </x:c>
      <x:c r="F73" s="135" t="str">
        <x:v>先读成员摘要及BiReport成员/people聚合，补同筛选人数口径/示例/窄屏验收并合入原r7，保留原字号和单行时间两项</x:v>
      </x:c>
      <x:c r="G73" s="135" t="str">
        <x:v>不改Dart/业务配置/原型，不构建APK、不连接设备/NAS或真实写入，不恢复PAUSED</x:v>
      </x:c>
      <x:c r="H73" s="135" t="str">
        <x:v>成员人数现象/源码分析、同筛选Person去重及完整r7三项规格完成；四表范围依赖估算、完整旧r7/M5行归档、决策风险、历史/原值和原生结构及渲染检查通过。仅规划，无业务/新APK。</x:v>
      </x:c>
      <x:c r="I73" s="135" t="str">
        <x:v>已完成</x:v>
      </x:c>
      <x:c r="J73" s="135" t="str">
        <x:v>人数按筛选后已知成员及手动Person去重，未知不造人；与参与张数/百分比分母区分，非人数存储迁移；首次规划保护检查因Q列发布映射说明改动触发完整映射归档门槛；已保留原Q列不变，人数范围写在J列与新追加记录，失败事实保留</x:v>
      </x:c>
      <x:c r="K73" s="135" t="str">
        <x:v>校验后本地提交立即上传origin个人分支并核对一致</x:v>
      </x:c>
      <x:c r="L73" s="135" t="str">
        <x:v>下一唯一仍完整r7/M5/产品1.2.0；0.5–1人日及拟rc.13/15017保持，仅规划无APK</x:v>
      </x:c>
    </x:row>
    <x:row r="74" ht="350" customHeight="1">
      <x:c r="A74" s="135" t="str">
        <x:v>ROUND-20261026-V151-R7-01</x:v>
      </x:c>
      <x:c r="B74" s="136" t="n">
        <x:v>46321</x:v>
      </x:c>
      <x:c r="C74" s="135" t="str">
        <x:v>v1.5.1-r7</x:v>
      </x:c>
      <x:c r="D74" s="135" t="str">
        <x:v>统计摘要、时间单行及人数完整开发</x:v>
      </x:c>
      <x:c r="E74" s="135" t="str">
        <x:v>用户明确开发；前轮三项完整规划及Git上传已闭合</x:v>
      </x:c>
      <x:c r="F74" s="135" t="str">
        <x:v>先复用完整筛选已知身份/Person去重，再总额同正文尺寸、今日周月年所有单行与人数摘要，兼容自动/生产审计/正式签名rc.13/15017</x:v>
      </x:c>
      <x:c r="G74" s="135" t="str">
        <x:v>无ADB/手机/NAS/安装或真实迁移，不改历史/schema/金额库存/颜色，不恢复PAUSED或开始第二包</x:v>
      </x:c>
      <x:c r="H74"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74" s="135" t="str">
        <x:v>本地完成/待实机</x:v>
      </x:c>
      <x:c r="J74"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K74" s="135" t="str">
        <x:v>完整代码/验证/签名APK与四表通过后提交立即上传origin个人分支并核对；无下一批准包、不开始第二包，PAUSED保持。</x:v>
      </x:c>
      <x:c r="L74" s="135" t="str">
        <x:v>仅此完整r7/M5/产品1.2.0，正式rc.13/15017待集中实机；无下一本地包，定时PAUSED保持</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row r="134" ht="300" customHeight="1">
      <x:c r="A134" s="135" t="str">
        <x:v>DEC-086</x:v>
      </x:c>
      <x:c r="B134" s="135" t="str">
        <x:v>总花费对齐参与说明字号</x:v>
      </x:c>
      <x:c r="C134" s="135" t="str">
        <x:v>用户要求总花费为成员参与xx张那一行大小，先排fix</x:v>
      </x:c>
      <x:c r="D134" s="135" t="str">
        <x:v>v151-r7/统计两费用模式与共用消费者</x:v>
      </x:c>
      <x:c r="E134" s="135" t="str">
        <x:v>总额字号取bodyMedium当前15sp及正常文字缩放，不改原字重颜色/金额舍入/位置、其他总张数或全局headline；共用SpendingPanel管理与成员日页同步</x:v>
      </x:c>
      <x:c r="F134" s="135" t="str">
        <x:v>本地与签名完成/用户实机待验</x:v>
      </x:c>
      <x:c r="G134" s="135" t="str">
        <x:v>原headlineLarge40sp是UI层级差异，不改变精确成本/合计/库存或历史；受控旧页审查字号同源</x:v>
      </x:c>
      <x:c r="H134" s="135" t="str">
        <x:v>BI_TYPE_PERIOD_FIX_20261026.md；源码只读确认expense-total与参与说明样式不同；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4" s="135" t="str">
        <x:v>0.5–1人日两项同包，拟rc.13/15017无APK，15016已装/功能M5未验；PAUSED保持</x:v>
      </x:c>
    </x:row>
    <x:row r="135" ht="300" customHeight="1">
      <x:c r="A135" s="135" t="str">
        <x:v>DEC-087</x:v>
      </x:c>
      <x:c r="B135" s="135" t="str">
        <x:v>去重复日并固定时间筛选单行</x:v>
      </x:c>
      <x:c r="C135" s="135" t="str">
        <x:v>用户指出今日和日重复，点日像跳今日，要求去日/时间filter保持一行</x:v>
      </x:c>
      <x:c r="D135" s="135" t="str">
        <x:v>v151-r7/共用BiPage及管理日期控件</x:v>
      </x:c>
      <x:c r="E135" s="135" t="str">
        <x:v>只显示今日/周/月/年/所有，单行不足横滑不缩字；保留BiScope.day、日历历史日/前后日和原查询/CSV元数据；今日点击按上海当天，其他筛选保持</x:v>
      </x:c>
      <x:c r="F135" s="135" t="str">
        <x:v>本地与签名完成/用户实机待验</x:v>
      </x:c>
      <x:c r="G135" s="135" t="str">
        <x:v>仅时间组选项单行，r6三种统计视图不扩改；历史日今日不假标选中，以期间标题明示日，作为可逆体验边界待检查</x:v>
      </x:c>
      <x:c r="H135" s="135" t="str">
        <x:v>现bi-today后遍历BiScope.values包含day，Wrap导致换行；anchor为今天时两个入口同日，非日期存储错误；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5" s="135" t="str">
        <x:v>标准320–430及200%单行/横滑可达、历史日/周月年所有、午夜/取消/返回/筛选与管理同源待验；不删底层日能力</x:v>
      </x:c>
    </x:row>
    <x:row r="136" ht="300" customHeight="1">
      <x:c r="A136" s="135" t="str">
        <x:v>RISK-042</x:v>
      </x:c>
      <x:c r="B136" s="135" t="str">
        <x:v>单行时间可达性及历史日选中含义</x:v>
      </x:c>
      <x:c r="C136" s="135" t="str">
        <x:v>强塞五按钮可能缩字裁切；删除可见日若连带删BiScope.day会损历史查询；字号误改全局总数或金额</x:v>
      </x:c>
      <x:c r="D136" s="135" t="str">
        <x:v>v151-r7/M5</x:v>
      </x:c>
      <x:c r="E136" s="135" t="str">
        <x:v>单行横滑并保留触区/语义；保留日查询与日期标题，今日只当日标选中；总额尺寸取参与说明主题字号，原数据/成本及其他统计保持</x:v>
      </x:c>
      <x:c r="F136" s="135" t="str">
        <x:v>本地验证收敛/用户实机待检查</x:v>
      </x:c>
      <x:c r="G136" s="135" t="str">
        <x:v>只允许可逆UI边界，不新增设置或迁移；用户普通反馈仅规划，未明确开发不实施/恢复定时</x:v>
      </x:c>
      <x:c r="H136" s="135" t="str">
        <x:v>完整规格和单行/大字/日期/金额同源验收已排，15016安装数据保持不代替本fix通过；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6" s="135" t="str">
        <x:v>0.5–1人日/23主线累计69.5–118，M5因新修订需整改，Android/用户及真实恢复待验</x:v>
      </x:c>
    </x:row>
    <x:row r="137" ht="300" customHeight="1">
      <x:c r="A137" s="135" t="str">
        <x:v>DEC-088</x:v>
      </x:c>
      <x:c r="B137" s="135" t="str">
        <x:v>成员总张数后显示筛选人数</x:v>
      </x:c>
      <x:c r="C137" s="135" t="str">
        <x:v>用户要求统计成员界面xx张后写总共多少人</x:v>
      </x:c>
      <x:c r="D137" s="135" t="str">
        <x:v>v151-r7/M5/成员模式共享摘要</x:v>
      </x:c>
      <x:c r="E137" s="135" t="str">
        <x:v>显示xx张 · 共n人，复用当前过滤记录，已知成员按手动Person去重，未关联按成员ID；同名不合并，未知不造人；已知成员未知张数仍计人，空结果0人；原总张数、参与次数、分母和费用模式保持</x:v>
      </x:c>
      <x:c r="F137" s="135" t="str">
        <x:v>本地与签名完成/用户实机待验</x:v>
      </x:c>
      <x:c r="G137" s="135" t="str">
        <x:v>原quantityLabel和memberQuantityLabel是张数，不能当人数；BiReport.people已有同筛选关联聚合但需排除无已知成员的残留身份；不改历史或建立Person</x:v>
      </x:c>
      <x:c r="H137" s="135" t="str">
        <x:v>源码只读bi_page.dart成员摘要及bi_query.dart成员循环/people/sortedMembers；规格BI_TYPE_PERIOD_FIX_20261026.md追加第三项；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7" s="135" t="str">
        <x:v>沿原r7依赖r6与0.5–1估算，23主线累计69.5–118，拟rc.13/15017无APK；PAUSED保持</x:v>
      </x:c>
    </x:row>
    <x:row r="138" ht="300" customHeight="1">
      <x:c r="A138" s="135" t="str">
        <x:v>RISK-043</x:v>
      </x:c>
      <x:c r="B138" s="135" t="str">
        <x:v>人数与身份数或参与张数混淆</x:v>
      </x:c>
      <x:c r="C138" s="135" t="str">
        <x:v>直接数全成员库/列表参与总张数会误报，直接people.length可能将残留未知成员ID当人，大字拼接可能溢出</x:v>
      </x:c>
      <x:c r="D138" s="135" t="str">
        <x:v>v151-r7/M5</x:v>
      </x:c>
      <x:c r="E138" s="135" t="str">
        <x:v>以筛选记录内已知成员解析Person/成员ID集合；不按姓名合并，不计未出现成员，未知不占人；张数未知不否认已知身份，保留原张数文案；正常紧随总张数，大字允许内容回流</x:v>
      </x:c>
      <x:c r="F138" s="135" t="str">
        <x:v>本地验证收敛/用户实机待检查</x:v>
      </x:c>
      <x:c r="G138" s="135" t="str">
        <x:v>只读展示，未知值不回填；日期成员团体和更多筛选同源，人数不成为饼图或进度条分母，不给费用模式乱加人数</x:v>
      </x:c>
      <x:c r="H138" s="135" t="str">
        <x:v>规划验收已含多人2张2人/同人两身份1人/同名2人/未知成员和张数/空结果及320–430与200%；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8" s="135" t="str">
        <x:v>本轮仅规划无自动业务测试/构建/实机，原两项完整保留，0.5–1人日不变</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-26完整r7/M5/正式1.2.0-rc.13/15017本地与签名交付：总额15sp、五项时间单行及成员人数齐备。482全量/静态/17专项、完整恢复/生产审计和固定签名通过；23主线本地均完成，无下一批准可执行包；手机最近15016，唯一待安装15017，用户/Android/TalkBack/真实恢复/M5仍待，cheki-6实际PAUSED保持。</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row r="287" ht="350" customHeight="1">
      <x:c r="A287" s="135" t="str">
        <x:v>S25-UPGRADE-15016-20261025</x:v>
      </x:c>
      <x:c r="B287" s="135" t="str">
        <x:v>覆盖安装与数据完整保持</x:v>
      </x:c>
      <x:c r="C287" s="135" t="str">
        <x:v>ROUND-20261025-S25-UPGRADE-15016-01</x:v>
      </x:c>
      <x:c r="D287" s="135" t="str">
        <x:v>v1.5.1-r6/15016</x:v>
      </x:c>
      <x:c r="E287"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F287"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row>
    <x:row r="288" ht="350" customHeight="1">
      <x:c r="A288" s="135" t="str">
        <x:v>HISTORY-S25-UPGRADE-15016-M5-20261025</x:v>
      </x:c>
      <x:c r="B288" s="135" t="str">
        <x:v>覆盖前完整M5行</x:v>
      </x:c>
      <x:c r="C288" s="135" t="str">
        <x:v>保留本地/旧安装及范围估算未验历史</x:v>
      </x:c>
      <x:c r="D288" s="135" t="str">
        <x:v>M5</x:v>
      </x:c>
      <x:c r="E288"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 "M4", "已完成日用验收的1.2.0；稳定化不凭空升补丁号"]</x:v>
      </x:c>
      <x:c r="F288" s="135" t="str">
        <x:v>只追加实际覆盖、数据和启动证据，不标功能M5通过</x:v>
      </x:c>
    </x:row>
    <x:row r="289" ht="350" customHeight="1">
      <x:c r="A289" s="135" t="str">
        <x:v>HISTORY-BI-TYPE-PERIOD-M5-20261026</x:v>
      </x:c>
      <x:c r="B289" s="135" t="str">
        <x:v>新增r7前完整M5行</x:v>
      </x:c>
      <x:c r="C289" s="135" t="str">
        <x:v>保留15016已装/数据保持及21–36/累计69–117与所有未验历史</x:v>
      </x:c>
      <x:c r="D289" s="135" t="str">
        <x:v>M5</x:v>
      </x:c>
      <x:c r="E289"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 "M4", "已完成日用验收的1.2.0；稳定化不凭空升补丁号"]</x:v>
      </x:c>
      <x:c r="F289" s="135" t="str">
        <x:v>新增后21.5–37/累计69.5–118，既有验证/安装不回写</x:v>
      </x:c>
    </x:row>
    <x:row r="290" ht="350" customHeight="1">
      <x:c r="A290" s="135" t="str">
        <x:v>BI-TYPE-PERIOD-FIX-20261026</x:v>
      </x:c>
      <x:c r="B290" s="135" t="str">
        <x:v>总额字号及时间单行两项修订</x:v>
      </x:c>
      <x:c r="C290" s="135" t="str">
        <x:v>ROUND-20261026-BI-TYPE-PERIOD-PLAN-01；DEC086/087/RISK042</x:v>
      </x:c>
      <x:c r="D290" s="135" t="str">
        <x:v>v1.5.1-r7/M5/1.2.0</x:v>
      </x:c>
      <x:c r="E290" s="135" t="str">
        <x:v>BI_TYPE_PERIOD_FIX_20261026.md；下一唯一依赖r6，0.5–1人日；今日周月年所有单行及同说明字号</x:v>
      </x:c>
      <x:c r="F290" s="135" t="str">
        <x:v>仅规划，无业务/构建/设备NAS真写；定时PAUSED保持，直接开发或明确恢复后实施</x:v>
      </x:c>
    </x:row>
    <x:row r="291" ht="350" customHeight="1">
      <x:c r="A291" s="135" t="str">
        <x:v>HISTORY-BI-MEMBER-COUNT-R7-20261026</x:v>
      </x:c>
      <x:c r="B291" s="135" t="str">
        <x:v>追加人数前完整r7行</x:v>
      </x:c>
      <x:c r="C291" s="135" t="str">
        <x:v>保留原两项范围、0.5–1人日及依赖/候选号历史</x:v>
      </x:c>
      <x:c r="D291" s="135" t="str">
        <x:v>v1.5.1-r7</x:v>
      </x:c>
      <x:c r="E291" s="135" t="str">
        <x:v>["v1.5.1-r7", "统计总额字号与单行时间fix", "总花费不过度放大，日期选项精简并单行", "待开发", "P1", "v1.5.1-r6", 0.5, 1.0, "先共享总额字号和可见时间选项，再单行横滑及全日期/筛选消费者验证", "总花费字号对齐成员参与说明的15sp/bodyMedium尺寸及文字缩放，原字重/颜色/金额/位置保持；去可见日，仅今日/周/月/年/所有单行，不足横滑不缩字；保留底层日查询/历史日历/前后日/筛选与管理同源。见BI_TYPE_PERIOD_FIX_20261026.md", "仅记录评估排期，无业务/新APK。待验：两费用模式及管理/成员日页总额字号与说明一致，200%；时间五项同一行/横滑全可达、无日、今日跨上海午夜/历史日历及前后日/月年周所有、筛选/返回/CSV与原库保持；完整静态/自动/审计/正式签名", "15016已装/完整数据保持，功能/Android/TalkBack/真实恢复/M5仍待；历史日不把今日假标选中、以范围标题明确，待体验检查。仅规划，PAUSED不恢复；直接开发或明确恢复后先完整r7", "bi_page/spending_panel及共用字号与必要兼容消费者、Widget/日期测试、BI/UI文档；无schema/历史日期金额库存迁移", 15017.0]</x:v>
      </x:c>
      <x:c r="F291" s="135" t="str">
        <x:v>本次扩充同一未开发包，不覆盖已结束ROUND</x:v>
      </x:c>
    </x:row>
    <x:row r="292" ht="350" customHeight="1">
      <x:c r="A292" s="135" t="str">
        <x:v>HISTORY-BI-MEMBER-COUNT-M5-20261026</x:v>
      </x:c>
      <x:c r="B292" s="135" t="str">
        <x:v>追加人数前完整M5行</x:v>
      </x:c>
      <x:c r="C292" s="135" t="str">
        <x:v>原安装与未验、估算、检查范围完整保留</x:v>
      </x:c>
      <x:c r="D292" s="135" t="str">
        <x:v>M5</x:v>
      </x:c>
      <x:c r="E292"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 "M4", "已完成日用验收的1.2.0；稳定化不凭空升补丁号"]</x:v>
      </x:c>
      <x:c r="F292" s="135" t="str">
        <x:v>仍需整改，不将只规划写成通过</x:v>
      </x:c>
    </x:row>
    <x:row r="293" ht="350" customHeight="1">
      <x:c r="A293" s="135" t="str">
        <x:v>BI-MEMBER-COUNT-FIX-20261026</x:v>
      </x:c>
      <x:c r="B293" s="135" t="str">
        <x:v>成员统计总张数后追加共n人</x:v>
      </x:c>
      <x:c r="C293" s="135" t="str">
        <x:v>ROUND-20261026-BI-MEMBER-COUNT-PLAN-01；DEC088/RISK043</x:v>
      </x:c>
      <x:c r="D293" s="135" t="str">
        <x:v>v1.5.1-r7/M5/1.2.0</x:v>
      </x:c>
      <x:c r="E293" s="135" t="str">
        <x:v>同筛选、已知成员按手动Person去重；总张数及比例保持，原两项完整保留；0.5–1人日不变</x:v>
      </x:c>
      <x:c r="F293" s="135" t="str">
        <x:v>仅规划、PAUSED保持，无业务/构建/设备NAS真写；直接开发或明确恢复后实施</x:v>
      </x:c>
    </x:row>
    <x:row r="294" ht="350" customHeight="1">
      <x:c r="A294" s="135" t="str">
        <x:v>HISTORY-V151-R7-M5-20261026</x:v>
      </x:c>
      <x:c r="B294" s="135" t="str">
        <x:v>本次开发前完整M5行</x:v>
      </x:c>
      <x:c r="C294" s="135" t="str">
        <x:v>保留原安装/功能未验、范围及估算</x:v>
      </x:c>
      <x:c r="D294" s="135" t="str">
        <x:v>M5</x:v>
      </x:c>
      <x:c r="E294"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 "M4", "已完成日用验收的1.2.0；稳定化不凭空升补丁号"]</x:v>
      </x:c>
      <x:c r="F294" s="135" t="str">
        <x:v>本地完成不等于M5日用通过</x:v>
      </x:c>
    </x:row>
    <x:row r="295" ht="350" customHeight="1">
      <x:c r="A295" s="135" t="str">
        <x:v>V151-R7-LOCAL-20261026</x:v>
      </x:c>
      <x:c r="B295" s="135" t="str">
        <x:v>统计摘要和单行时间完整三项修复</x:v>
      </x:c>
      <x:c r="C295" s="135" t="str">
        <x:v>ROUND-20261026-V151-R7-01</x:v>
      </x:c>
      <x:c r="D295" s="135" t="str">
        <x:v>v1.5.1-r7/M5/1.2.0</x:v>
      </x:c>
      <x:c r="E295"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F295"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row>
  </x:sheetData>
  <x:pageMargins left="0.7" right="0.7" top="0.75" bottom="0.75" header="0.3" footer="0.3"/>
</x:worksheet>
</file>